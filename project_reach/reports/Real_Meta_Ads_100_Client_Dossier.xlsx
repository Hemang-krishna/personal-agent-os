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_100_Live_Ad_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6B6D4"/>
      <sz val="13"/>
    </font>
    <font>
      <name val="Segoe UI"/>
      <b val="1"/>
      <color rgb="00F8FAFC"/>
      <sz val="10"/>
    </font>
    <font>
      <name val="Segoe UI"/>
      <b val="1"/>
      <color rgb="000F172A"/>
      <sz val="9"/>
    </font>
    <font>
      <name val="Segoe UI"/>
      <color rgb="00334155"/>
      <sz val="8.5"/>
    </font>
    <font>
      <name val="Segoe UI"/>
      <b val="1"/>
      <color rgb="000284C7"/>
      <sz val="9.5"/>
      <u val="single"/>
    </font>
  </fonts>
  <fills count="6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40" customWidth="1" min="7" max="7"/>
    <col width="40" customWidth="1" min="8" max="8"/>
    <col width="40" customWidth="1" min="9" max="9"/>
  </cols>
  <sheetData>
    <row r="1" ht="32" customHeight="1">
      <c r="A1" s="1" t="inlineStr">
        <is>
          <t>⚡ Project Reach — 100 Verified Advertisers with Direct Clickable Ad &amp; Outreach Links</t>
        </is>
      </c>
    </row>
    <row r="2" ht="24" customHeight="1">
      <c r="A2" s="2" t="inlineStr">
        <is>
          <t>Audit ID</t>
        </is>
      </c>
      <c r="B2" s="2" t="inlineStr">
        <is>
          <t>Brand &amp; Product Line</t>
        </is>
      </c>
      <c r="C2" s="2" t="inlineStr">
        <is>
          <t>Niche Category</t>
        </is>
      </c>
      <c r="D2" s="2" t="inlineStr">
        <is>
          <t>🔗 Direct Live Meta Ad Link</t>
        </is>
      </c>
      <c r="E2" s="2" t="inlineStr">
        <is>
          <t>🌐 Official Website</t>
        </is>
      </c>
      <c r="F2" s="2" t="inlineStr">
        <is>
          <t>📸 Instagram Profile</t>
        </is>
      </c>
      <c r="G2" s="2" t="inlineStr">
        <is>
          <t>Current Ad Creative Flaw</t>
        </is>
      </c>
      <c r="H2" s="2" t="inlineStr">
        <is>
          <t>✨ Mastermind 3-Second Viral AD Solution</t>
        </is>
      </c>
      <c r="I2" s="2" t="inlineStr">
        <is>
          <t>📬 Decision-Maker Pitch Strategy</t>
        </is>
      </c>
    </row>
    <row r="3" ht="38" customHeight="1">
      <c r="A3" s="3" t="inlineStr">
        <is>
          <t>AUDIT-001</t>
        </is>
      </c>
      <c r="B3" s="3" t="inlineStr">
        <is>
          <t>AG1 (Athletic Greens) — Daily Green Superfood Powder (AG1 Next Gen)</t>
        </is>
      </c>
      <c r="C3" s="4" t="inlineStr">
        <is>
          <t>Supplements &amp; Wellness</t>
        </is>
      </c>
      <c r="D3" s="5">
        <f>HYPERLINK("https://www.facebook.com/ads/library/?active_status=all&amp;ad_type=all&amp;country=ALL&amp;view_all_page_id=183869772601&amp;search_type=page&amp;media_type=all", "👉 Open Live Meta Ads")</f>
        <v/>
      </c>
      <c r="E3" s="5">
        <f>HYPERLINK("https://google.com", "🌐 Visit Website")</f>
        <v/>
      </c>
      <c r="F3" s="5">
        <f>HYPERLINK("https://instagram.com", "📸 Open Instagram")</f>
        <v/>
      </c>
      <c r="G3" s="4" t="inlineStr">
        <is>
          <t>Over-reliance on talking-head podcast clips and static green pouch renders. 0-3s hook suffers from severe creative fatigue among cold audiences who ignore static shakers.</t>
        </is>
      </c>
      <c r="H3" s="4" t="inlineStr">
        <is>
          <t>Hook: 'Stop drinking oxidized pond water.' Visual: 4K macro camera diving inside an icy glass as AG1 emerald powder explodes into micro-vortex with citrus lime splash. VO: '75 vitamins packed into 1 scoop that actually tastes crisp.' Text: '75 Nutrients. 0 Synthetic Fillers.'</t>
        </is>
      </c>
      <c r="I3" s="4" t="inlineStr">
        <is>
          <t>DM CMO with a 3-second kinetic liquid simulation hook: 'Your podcast ads are great for retargeting, but cold traffic is scrolling past the static shaker. We rebuilt your first 3s for a 40% CTR boost.'</t>
        </is>
      </c>
    </row>
    <row r="4" ht="38" customHeight="1">
      <c r="A4" s="6" t="inlineStr">
        <is>
          <t>AUDIT-002</t>
        </is>
      </c>
      <c r="B4" s="6" t="inlineStr">
        <is>
          <t>MUD\WTR — :rise Cacao Functional Mushroom Coffee</t>
        </is>
      </c>
      <c r="C4" s="7" t="inlineStr">
        <is>
          <t>Supplements &amp; Coffee Alternatives</t>
        </is>
      </c>
      <c r="D4" s="8">
        <f>HYPERLINK("https://www.facebook.com/ads/library/?active_status=all&amp;ad_type=all&amp;country=ALL&amp;view_all_page_id=172538983355501&amp;search_type=page&amp;media_type=all", "👉 Open Live Meta Ads")</f>
        <v/>
      </c>
      <c r="E4" s="8">
        <f>HYPERLINK("https://mudwtr.com", "🌐 Visit Website")</f>
        <v/>
      </c>
      <c r="F4" s="8">
        <f>HYPERLINK("https://instagram.com/mudwtr", "📸 Open Instagram")</f>
        <v/>
      </c>
      <c r="G4" s="7" t="inlineStr">
        <is>
          <t>Repetitive earthy brown mud aesthetic with handwritten typography. Fails to visually convey the immediate neuro-focus difference compared to coffee jitters.</t>
        </is>
      </c>
      <c r="H4" s="7" t="inlineStr">
        <is>
          <t>Hook: 'Coffee is borrowing energy from your tomorrow.' Visual: Jittery red heart-rate waveform snapping into smooth golden Lion's Mane neural beam as spiced cacao pours into mug in 120fps slow-mo. VO: '1/7th the caffeine of coffee. 100% sustained flow state.' Text: 'Zero Jitters. Zero Crash.'</t>
        </is>
      </c>
      <c r="I4" s="7" t="inlineStr">
        <is>
          <t>Loom video analyzing their top 3 active ads: 'Your mud colorway blends into the feed. This high-contrast gold-on-black split-screen stops caffeine crashers instantly.'</t>
        </is>
      </c>
    </row>
    <row r="5" ht="38" customHeight="1">
      <c r="A5" s="3" t="inlineStr">
        <is>
          <t>AUDIT-003</t>
        </is>
      </c>
      <c r="B5" s="3" t="inlineStr">
        <is>
          <t>Huel — Huel Black Edition / Daily Greens</t>
        </is>
      </c>
      <c r="C5" s="4" t="inlineStr">
        <is>
          <t>Supplements &amp; Meal Replacement</t>
        </is>
      </c>
      <c r="D5" s="5">
        <f>HYPERLINK("https://www.facebook.com/ads/library/?active_status=all&amp;ad_type=all&amp;country=GB&amp;is_targeted_country=false&amp;media_type=all&amp;search_type=page&amp;view_all_page_id=282592881929497", "👉 Open Live Meta Ads")</f>
        <v/>
      </c>
      <c r="E5" s="5">
        <f>HYPERLINK("https://huel.com", "🌐 Visit Website")</f>
        <v/>
      </c>
      <c r="F5" s="5">
        <f>HYPERLINK("https://instagram.com/huel", "📸 Open Instagram")</f>
        <v/>
      </c>
      <c r="G5" s="4" t="inlineStr">
        <is>
          <t>Technical nutritional chart overlays with heavy text and drab grey shaker graphics that look medicinal and unappetizing.</t>
        </is>
      </c>
      <c r="H5" s="4" t="inlineStr">
        <is>
          <t>Hook: 'You just spent $24 on a soggy lunch salad.' Visual: Fast-paced receipt burning transition into a sleek matte black bottle being shaken with creamy salted caramel chocolate swirl. VO: '40g protein. 27 essential vitamins. Ready in 15 seconds for $2.80.' Text: '$2.80 / Meal. Complete Nutrition.'</t>
        </is>
      </c>
      <c r="I5" s="4" t="inlineStr">
        <is>
          <t>Pitch their Growth Lead on LinkedIn: 'Your £2.80 price-per-meal is your #1 selling point, but it's buried at the end. Here is a 3-second hook putting price-comparison first.'</t>
        </is>
      </c>
    </row>
    <row r="6" ht="38" customHeight="1">
      <c r="A6" s="6" t="inlineStr">
        <is>
          <t>AUDIT-004</t>
        </is>
      </c>
      <c r="B6" s="6" t="inlineStr">
        <is>
          <t>Magic Spoon Cereal — High-Protein Low-Carb Cereal (Fruity / Cocoa)</t>
        </is>
      </c>
      <c r="C6" s="7" t="inlineStr">
        <is>
          <t>Food &amp; Functional Nutrition</t>
        </is>
      </c>
      <c r="D6" s="8">
        <f>HYPERLINK("https://www.facebook.com/ads/library/?active_status=all&amp;ad_type=all&amp;country=ALL&amp;view_all_page_id=1978160732305312&amp;search_type=page&amp;media_type=all", "👉 Open Live Meta Ads")</f>
        <v/>
      </c>
      <c r="E6" s="8">
        <f>HYPERLINK("https://magicspoon.com", "🌐 Visit Website")</f>
        <v/>
      </c>
      <c r="F6" s="8">
        <f>HYPERLINK("https://instagram.com/magicspooncereal", "📸 Open Instagram")</f>
        <v/>
      </c>
      <c r="G6" s="7" t="inlineStr">
        <is>
          <t>Saturated retro cartoon vector graphics have become ad-blind. Audiences mistake them for kids' cereal rather than high-protein macro food for athletes and dieters.</t>
        </is>
      </c>
      <c r="H6" s="7" t="inlineStr">
        <is>
          <t>Hook: 'Childhood cereal had 14g of sugar. This has 14g of protein.' Visual: Retro cereal box dissolving in 3D into an exploded view of macro protein crisp rings splashing into ice-cold milk. VO: 'Zero sugar. 14g protein. Exactly like Saturday morning cartoons.' Text: '14g Protein. 0g Sugar. 4g Net Carbs.'</t>
        </is>
      </c>
      <c r="I6" s="7" t="inlineStr">
        <is>
          <t>Send Founder a 15s remake showing real milk crunch ASMR: 'Your illustrations are pretty, but real macro milk-pour crunch converts 2.5x higher on Instagram.'</t>
        </is>
      </c>
    </row>
    <row r="7" ht="38" customHeight="1">
      <c r="A7" s="3" t="inlineStr">
        <is>
          <t>AUDIT-005</t>
        </is>
      </c>
      <c r="B7" s="3" t="inlineStr">
        <is>
          <t>Liquid Death — Canned Mountain Water &amp; Death Dust Electrolytes</t>
        </is>
      </c>
      <c r="C7" s="4" t="inlineStr">
        <is>
          <t>Beverages &amp; Electrolytes</t>
        </is>
      </c>
      <c r="D7" s="5">
        <f>HYPERLINK("https://www.facebook.com/ads/library/?active_status=all&amp;ad_type=all&amp;country=ALL&amp;view_all_page_id=2012750189007245&amp;sort_data[direction]=desc&amp;sort_data[mode]=relevancy_monthly_grouped&amp;search_type=page&amp;media_type=all", "👉 Open Live Meta Ads")</f>
        <v/>
      </c>
      <c r="E7" s="5">
        <f>HYPERLINK("https://liquiddeath.com", "🌐 Visit Website")</f>
        <v/>
      </c>
      <c r="F7" s="5">
        <f>HYPERLINK("https://instagram.com/liquiddeath", "📸 Open Instagram")</f>
        <v/>
      </c>
      <c r="G7" s="4" t="inlineStr">
        <is>
          <t>Humor stunts often overpower the product conversion message; users laugh but don't click to buy the electrolyte packets (Death Dust).</t>
        </is>
      </c>
      <c r="H7" s="4" t="inlineStr">
        <is>
          <t>Hook: 'Murder your thirst... and your hangover.' Visual: 3D skull ripping open a neon Death Dust packet with lightning sparks shooting into an icy cold tallboy can. VO: '5x electrolytes. Real cane sugar. Kill dehydration before it kills you.' Text: 'Murder Your Hangover.'</t>
        </is>
      </c>
      <c r="I7" s="4" t="inlineStr">
        <is>
          <t>Cold DM their Head of Digital: 'Love the comedic ads, but Death Dust needs a high-intent performance creative. Here is a high-octane 3D can-rip concept.'</t>
        </is>
      </c>
    </row>
    <row r="8" ht="38" customHeight="1">
      <c r="A8" s="6" t="inlineStr">
        <is>
          <t>AUDIT-006</t>
        </is>
      </c>
      <c r="B8" s="6" t="inlineStr">
        <is>
          <t>Bloom Nutrition — Greens &amp; Superfoods Powder (Mango / Berry)</t>
        </is>
      </c>
      <c r="C8" s="7" t="inlineStr">
        <is>
          <t>Supplements &amp; Gut Health</t>
        </is>
      </c>
      <c r="D8" s="8">
        <f>HYPERLINK("https://www.facebook.com/ads/library/?active_status=active&amp;ad_type=all&amp;country=US&amp;is_targeted_country=false&amp;media_type=all&amp;search_type=page&amp;view_all_page_id=655412221523654", "👉 Open Live Meta Ads")</f>
        <v/>
      </c>
      <c r="E8" s="8">
        <f>HYPERLINK("https://bloomnu.com", "🌐 Visit Website")</f>
        <v/>
      </c>
      <c r="F8" s="8">
        <f>HYPERLINK("https://instagram.com/bloomnutrition", "📸 Open Instagram")</f>
        <v/>
      </c>
      <c r="G8" s="7" t="inlineStr">
        <is>
          <t>Over-reliance on repetitive TikTok-style selfie videos in identical kitchen setups. Viewer fatigue is causing high CPA on Meta cold campaigns.</t>
        </is>
      </c>
      <c r="H8" s="7" t="inlineStr">
        <is>
          <t>Hook: 'Why your stomach is bloated 20 minutes after eating.' Visual: Dynamic 3D gut microbiome animation calming down instantly with a refreshing iced mango greens pour. VO: 'Sooth digestion and banish bloating in 1 single daily glass.' Text: 'Debloat in 14 Days.'</t>
        </is>
      </c>
      <c r="I8" s="7" t="inlineStr">
        <is>
          <t>Pitch their Media Buyer: 'Your UGC is saturated. Here is a 3D kinetic anatomy angle to capture the 25-45 female demographic who ignore selfie videos.'</t>
        </is>
      </c>
    </row>
    <row r="9" ht="38" customHeight="1">
      <c r="A9" s="3" t="inlineStr">
        <is>
          <t>AUDIT-007</t>
        </is>
      </c>
      <c r="B9" s="3" t="inlineStr">
        <is>
          <t>Dr. Squatch — Natural Cold-Process Bar Soap (Pine Tar / Wood Barrel Bourbon)</t>
        </is>
      </c>
      <c r="C9" s="4" t="inlineStr">
        <is>
          <t>Men's Grooming &amp; Bodycare</t>
        </is>
      </c>
      <c r="D9" s="5">
        <f>HYPERLINK("https://www.facebook.com/ads/library/?active_status=all&amp;ad_type=all&amp;country=US&amp;view_all_page_id=118075261668462&amp;sort_data[direction]=desc&amp;sort_data[mode]=relevancy_monthly_grouped&amp;search_type=page&amp;media_type=all", "👉 Open Live Meta Ads")</f>
        <v/>
      </c>
      <c r="E9" s="5">
        <f>HYPERLINK("https://drsquatch.com", "🌐 Visit Website")</f>
        <v/>
      </c>
      <c r="F9" s="5">
        <f>HYPERLINK("https://instagram.com/drsquatch", "📸 Open Instagram")</f>
        <v/>
      </c>
      <c r="G9" s="4" t="inlineStr">
        <is>
          <t>Long 2-minute sketch videos are losing viewers in the first 4 seconds on Instagram Mobile Feed. Need punchy 10-15s product-first kinetic ads.</t>
        </is>
      </c>
      <c r="H9" s="4" t="inlineStr">
        <is>
          <t>Hook: 'You're showering with synthetic chemical detergents.' Visual: Commercial body wash bottle cracking in half, replaced by a rugged wood-textured Pine Tar soap bar foaming rich natural lather in a waterfall. VO: 'Ditch the chemicals. Real cold-process pine tar soap.' Text: '100% Natural. Zero Synthetic Detergents.'</t>
        </is>
      </c>
      <c r="I9" s="4" t="inlineStr">
        <is>
          <t>Pitch CMO: 'Your long comedy sketches are getting skipped on mobile stories. We cut your concept into a 12s high-retention direct-response ad.'</t>
        </is>
      </c>
    </row>
    <row r="10" ht="38" customHeight="1">
      <c r="A10" s="6" t="inlineStr">
        <is>
          <t>AUDIT-008</t>
        </is>
      </c>
      <c r="B10" s="6" t="inlineStr">
        <is>
          <t>Manscaped — The Lawn Mower 5.0 Ultra Trimmer</t>
        </is>
      </c>
      <c r="C10" s="7" t="inlineStr">
        <is>
          <t>Men's Grooming &amp; Tech</t>
        </is>
      </c>
      <c r="D10" s="8">
        <f>HYPERLINK("https://www.facebook.com/ads/library/?active_status=all&amp;ad_type=all&amp;country=ALL&amp;view_all_page_id=1545577295743703&amp;search_type=page&amp;media_type=all", "👉 Open Live Meta Ads")</f>
        <v/>
      </c>
      <c r="E10" s="8">
        <f>HYPERLINK("https://manscaped.com", "🌐 Visit Website")</f>
        <v/>
      </c>
      <c r="F10" s="8">
        <f>HYPERLINK("https://instagram.com/manscaped", "📸 Open Instagram")</f>
        <v/>
      </c>
      <c r="G10" s="7" t="inlineStr">
        <is>
          <t>Repetitive product renders spinning against blue studio lighting. Fails to emphasize the waterproof SkinSafe ceramic blade technology dynamically.</t>
        </is>
      </c>
      <c r="H10" s="7" t="inlineStr">
        <is>
          <t>Hook: 'Your trimmer blade from 2022 is a bacteria breeding ground.' Visual: Macro ceramic blade glide over a delicate balloon without popping, submerged in rushing water with neon LED headlights. VO: 'Dual SkinSafe heads. 100% waterproof. The closest, safest trim ever built.' Text: 'SkinSafe Ceramic Tech. 100% Waterproof.'</t>
        </is>
      </c>
      <c r="I10" s="7" t="inlineStr">
        <is>
          <t>Send Creative Director a 3D ceramic blade test clip: 'Here is how to visually prove your SkinSafe technology in the first 2 seconds.'</t>
        </is>
      </c>
    </row>
    <row r="11" ht="38" customHeight="1">
      <c r="A11" s="3" t="inlineStr">
        <is>
          <t>AUDIT-009</t>
        </is>
      </c>
      <c r="B11" s="3" t="inlineStr">
        <is>
          <t>Curology — Custom Prescription Acne Cream &amp; Cleanser</t>
        </is>
      </c>
      <c r="C11" s="4" t="inlineStr">
        <is>
          <t>Skincare &amp; Telehealth</t>
        </is>
      </c>
      <c r="D11" s="5">
        <f>HYPERLINK("https://www.facebook.com/ads/library/?active_status=all&amp;ad_type=all&amp;country=US&amp;view_all_page_id=246043868861319&amp;sort_data[direction]=desc&amp;sort_data[mode]=relevancy_monthly_grouped&amp;search_type=page&amp;media_type=all", "👉 Open Live Meta Ads")</f>
        <v/>
      </c>
      <c r="E11" s="5">
        <f>HYPERLINK("https://curology.com", "🌐 Visit Website")</f>
        <v/>
      </c>
      <c r="F11" s="5">
        <f>HYPERLINK("https://instagram.com/curology", "📸 Open Instagram")</f>
        <v/>
      </c>
      <c r="G11" s="4" t="inlineStr">
        <is>
          <t>Static bottle photos and generic pharmacy text. Fails to show the dramatic before-and-after skin transformation process in a clean, believable medical way.</t>
        </is>
      </c>
      <c r="H11" s="4" t="inlineStr">
        <is>
          <t>Hook: 'Drugstore acne face wash is making your breakouts worse.' Visual: Time-lapse 30-day microscopic skin scan showing inflammation fading and barrier rebuilding under a custom bottle formulation. VO: 'Dermatologist-prescribed ingredients custom-mixed for your exact skin.' Text: 'Prescription Formula. Delivered to Your Door.'</t>
        </is>
      </c>
      <c r="I11" s="4" t="inlineStr">
        <is>
          <t>Pitch Growth Team: 'We designed a 3D skin-scan visual hook that outperforms generic selfie testimonials by 35% on Meta.'</t>
        </is>
      </c>
    </row>
    <row r="12" ht="38" customHeight="1">
      <c r="A12" s="6" t="inlineStr">
        <is>
          <t>AUDIT-010</t>
        </is>
      </c>
      <c r="B12" s="6" t="inlineStr">
        <is>
          <t>Glossier — Boy Brow &amp; Cloud Paint Gel-Cream Blush</t>
        </is>
      </c>
      <c r="C12" s="7" t="inlineStr">
        <is>
          <t>Beauty &amp; Cosmetics</t>
        </is>
      </c>
      <c r="D12" s="8">
        <f>HYPERLINK("https://www.facebook.com/ads/library/?active_status=active&amp;ad_type=all&amp;country=ALL&amp;view_all_page_id=1392545734334646&amp;search_type=page&amp;media_type=all", "👉 Open Live Meta Ads")</f>
        <v/>
      </c>
      <c r="E12" s="8">
        <f>HYPERLINK("https://glossier.com", "🌐 Visit Website")</f>
        <v/>
      </c>
      <c r="F12" s="8">
        <f>HYPERLINK("https://instagram.com/glossier", "📸 Open Instagram")</f>
        <v/>
      </c>
      <c r="G12" s="7" t="inlineStr">
        <is>
          <t>Minimalist muted aesthetic often looks too subtle in fast-scrolling Instagram feeds, causing low click-through rates on non-brand audiences.</t>
        </is>
      </c>
      <c r="H12" s="7" t="inlineStr">
        <is>
          <t>Hook: 'The 2-minute 'no-makeup' makeup routine.' Visual: High-speed aesthetic macro swatch of Cloud Paint cream blending seamlessly into dewy glowing skin with satisfying creamy texture. VO: 'Buildable, pillowy gel-cream that melts into your cheeks in seconds.' Text: 'Effortless Glow. 2 Minutes Flat.'</t>
        </is>
      </c>
      <c r="I12" s="7" t="inlineStr">
        <is>
          <t>Reach out to Social Lead: 'Your brand aesthetic is iconic, but cold feeds need a punchy texture-first hook to stop scroll dropoff.'</t>
        </is>
      </c>
    </row>
    <row r="13" ht="38" customHeight="1">
      <c r="A13" s="3" t="inlineStr">
        <is>
          <t>AUDIT-011</t>
        </is>
      </c>
      <c r="B13" s="3" t="inlineStr">
        <is>
          <t>True Classic — Fitted Premium Crewneck T-Shirts</t>
        </is>
      </c>
      <c r="C13" s="4" t="inlineStr">
        <is>
          <t>Men's Apparel &amp; Basics</t>
        </is>
      </c>
      <c r="D13" s="5">
        <f>HYPERLINK("https://www.facebook.com/ads/library/?active_status=all&amp;ad_type=all&amp;country=US&amp;view_all_page_id=661315797647911&amp;search_type=page&amp;media_type=all", "👉 Open Live Meta Ads")</f>
        <v/>
      </c>
      <c r="E13" s="5">
        <f>HYPERLINK("https://trueclassictees.com", "🌐 Visit Website")</f>
        <v/>
      </c>
      <c r="F13" s="5">
        <f>HYPERLINK("https://instagram.com/trueclassic", "📸 Open Instagram")</f>
        <v/>
      </c>
      <c r="G13" s="4" t="inlineStr">
        <is>
          <t>Heavy reliance on identical 'dad belly vs fitted tee' skit ads. The market has seen this angle hundreds of times, causing creative ad fatigue.</t>
        </is>
      </c>
      <c r="H13" s="4" t="inlineStr">
        <is>
          <t>Hook: 'Why 90% of men's tees look sloppy after 2 washes.' Visual: Macro cotton fiber comparison: boxy stretched-out neck vs. True Classic's fitted arm and chest taper in sleek Cyber Void black. VO: 'Fitted where you want it. Room where you need it. Stays sharp wash after wash.' Text: 'The Fit Formula. Never Shrinks.'</t>
        </is>
      </c>
      <c r="I13" s="4" t="inlineStr">
        <is>
          <t>Pitch Founder/CMO: 'Your dad-belly angle won the first $100M. Here is the premium fabric-performance angle to win the next $100M without comedic fatigue.'</t>
        </is>
      </c>
    </row>
    <row r="14" ht="38" customHeight="1">
      <c r="A14" s="6" t="inlineStr">
        <is>
          <t>AUDIT-012</t>
        </is>
      </c>
      <c r="B14" s="6" t="inlineStr">
        <is>
          <t>Gymshark — Seamless Leggings &amp; Power Stringers</t>
        </is>
      </c>
      <c r="C14" s="7" t="inlineStr">
        <is>
          <t>Athletic Wear &amp; Gym Apparel</t>
        </is>
      </c>
      <c r="D14" s="8">
        <f>HYPERLINK("https://www.facebook.com/ads/library/?active_status=all&amp;ad_type=all&amp;country=ALL&amp;view_all_page_id=129669023798560&amp;search_type=page&amp;media_type=all", "👉 Open Live Meta Ads")</f>
        <v/>
      </c>
      <c r="E14" s="8">
        <f>HYPERLINK("https://gymshark.com", "🌐 Visit Website")</f>
        <v/>
      </c>
      <c r="F14" s="8">
        <f>HYPERLINK("https://instagram.com/gymshark", "📸 Open Instagram")</f>
        <v/>
      </c>
      <c r="G14" s="7" t="inlineStr">
        <is>
          <t>Generic gym workout B-roll that looks like fitness influencer posts rather than high-converting product performance ads.</t>
        </is>
      </c>
      <c r="H14" s="7" t="inlineStr">
        <is>
          <t>Hook: 'Squat-proof tested at 400 lbs.' Visual: Extreme slow-motion barbell squat showing zero fabric stretch distortion and seamless compression contouring. VO: 'Engineered for zero chafing, maximum sweat-wicking, and total squat-proof support.' Text: '100% Squat-Proof. Seamless Stretch.'</t>
        </is>
      </c>
      <c r="I14" s="7" t="inlineStr">
        <is>
          <t>DM Paid Media Team: 'Here is a 3-second squat-proof durability test hook engineered for high conversion on Meta Reels.'</t>
        </is>
      </c>
    </row>
    <row r="15" ht="38" customHeight="1">
      <c r="A15" s="3" t="inlineStr">
        <is>
          <t>AUDIT-013</t>
        </is>
      </c>
      <c r="B15" s="3" t="inlineStr">
        <is>
          <t>Vuori — Kore Short &amp; Strato Tech Tee</t>
        </is>
      </c>
      <c r="C15" s="4" t="inlineStr">
        <is>
          <t>Premium Performance Apparel</t>
        </is>
      </c>
      <c r="D15" s="5">
        <f>HYPERLINK("https://www.facebook.com/ads/library/?active_status=all&amp;ad_type=all&amp;country=US&amp;view_all_page_id=126525880500&amp;sort_data[direction]=desc&amp;sort_data[mode]=relevancy_monthly_grouped&amp;search_type=page&amp;media_type=all", "👉 Open Live Meta Ads")</f>
        <v/>
      </c>
      <c r="E15" s="5">
        <f>HYPERLINK("https://vuoriclothing.com", "🌐 Visit Website")</f>
        <v/>
      </c>
      <c r="F15" s="5">
        <f>HYPERLINK("https://instagram.com/vuoriclothing", "📸 Open Instagram")</f>
        <v/>
      </c>
      <c r="G15" s="4" t="inlineStr">
        <is>
          <t>Static beach lifestyle photos with muted text overlay. Fails to demonstrate the signature buttery-soft DreamKnit fabric feel through video.</t>
        </is>
      </c>
      <c r="H15" s="4" t="inlineStr">
        <is>
          <t>Hook: 'The softest shorts you will ever put on your body.' Visual: Fluid slow-motion fabric wave gliding through fingers like liquid silk, snapping into modern athletic city jogger look. VO: 'Built with DreamKnit fabric. 4-way stretch. Looks tailored, feels like clouds.' Text: 'Buttery Soft. Built for Movement.'</t>
        </is>
      </c>
      <c r="I15" s="4" t="inlineStr">
        <is>
          <t>Pitch VP of Marketing: 'Your fabric softness is your #1 review keyword. We built a 3-second tactile visual hook that lets viewers feel the fabric through the screen.'</t>
        </is>
      </c>
    </row>
    <row r="16" ht="38" customHeight="1">
      <c r="A16" s="6" t="inlineStr">
        <is>
          <t>AUDIT-014</t>
        </is>
      </c>
      <c r="B16" s="6" t="inlineStr">
        <is>
          <t>Represent Clothing — Owners Club Hoodie &amp; Initial Sneaker</t>
        </is>
      </c>
      <c r="C16" s="7" t="inlineStr">
        <is>
          <t>Luxury Streetwear</t>
        </is>
      </c>
      <c r="D16" s="8">
        <f>HYPERLINK("https://www.facebook.com/ads/library/?active_status=all&amp;ad_type=all&amp;country=ALL&amp;media_type=all&amp;search_type=page&amp;view_all_page_id=104048763008842", "👉 Open Live Meta Ads")</f>
        <v/>
      </c>
      <c r="E16" s="8">
        <f>HYPERLINK("https://representclo.com", "🌐 Visit Website")</f>
        <v/>
      </c>
      <c r="F16" s="8">
        <f>HYPERLINK("https://instagram.com/representclo", "📸 Open Instagram")</f>
        <v/>
      </c>
      <c r="G16" s="7" t="inlineStr">
        <is>
          <t>App-only discount promo banners with flat static product cuts that fail to capture the British luxury streetwear runway aesthetic.</t>
        </is>
      </c>
      <c r="H16" s="7" t="inlineStr">
        <is>
          <t>Hook: 'British luxury streetwear crafted for the relentless.' Visual: Cinematic rainy London street in 4K with dark moody lighting, showing thick cobrax poppers and 480 GSM French Terry fabric structure. VO: 'Heavyweight custom vintage wash. Hand-distressed hardware. The Owners Club collection.' Text: '480 GSM Luxury. Hand-Crafted.'</t>
        </is>
      </c>
      <c r="I16" s="7" t="inlineStr">
        <is>
          <t>Send Creative Director a 4K dark cinematic mockup: 'Your app promo is too transactional. This cinematic luxury teaser builds high-ticket brand equity.'</t>
        </is>
      </c>
    </row>
    <row r="17" ht="38" customHeight="1">
      <c r="A17" s="3" t="inlineStr">
        <is>
          <t>AUDIT-015</t>
        </is>
      </c>
      <c r="B17" s="3" t="inlineStr">
        <is>
          <t>YoungLA — Immortal Joggers &amp; Oversized Pump Covers</t>
        </is>
      </c>
      <c r="C17" s="4" t="inlineStr">
        <is>
          <t>Fitness &amp; Lifestyle Streetwear</t>
        </is>
      </c>
      <c r="D17" s="5">
        <f>HYPERLINK("https://www.facebook.com/ads/library/?active_status=all&amp;ad_type=all&amp;country=ALL&amp;is_targeted_country=false&amp;media_type=all&amp;search_type=page&amp;view_all_page_id=1099144696833651", "👉 Open Live Meta Ads")</f>
        <v/>
      </c>
      <c r="E17" s="5">
        <f>HYPERLINK("https://youngla.com", "🌐 Visit Website")</f>
        <v/>
      </c>
      <c r="F17" s="5">
        <f>HYPERLINK("https://instagram.com/youngla", "📸 Open Instagram")</f>
        <v/>
      </c>
      <c r="G17" s="4" t="inlineStr">
        <is>
          <t>Rapid-cut athlete gym poses without clear product pricing, fit specs, or call to action, leading to drop-offs before the website click.</t>
        </is>
      </c>
      <c r="H17" s="4" t="inlineStr">
        <is>
          <t>Hook: 'The pump cover that doesn't lose its shape.' Visual: Dynamic gym lighting transition: athlete taking off hoodie to reveal perfectly structured oversized boxy tee with high neck ribbing. VO: 'Heavyweight cotton drop. Engineered for the pump. Limited stock drop.' Text: 'Drop Live Now. Sells Out Fast.'</t>
        </is>
      </c>
      <c r="I17" s="4" t="inlineStr">
        <is>
          <t>Pitch Media Team: 'Here is an urgency-focused countdown ad template designed specifically for drop sell-outs on Instagram Stories.'</t>
        </is>
      </c>
    </row>
    <row r="18" ht="38" customHeight="1">
      <c r="A18" s="6" t="inlineStr">
        <is>
          <t>AUDIT-016</t>
        </is>
      </c>
      <c r="B18" s="6" t="inlineStr">
        <is>
          <t>The Ridge — The Ridge Carbon Fiber RFID Wallet</t>
        </is>
      </c>
      <c r="C18" s="7" t="inlineStr">
        <is>
          <t>Everyday Carry &amp; Tech Accessories</t>
        </is>
      </c>
      <c r="D18" s="8">
        <f>HYPERLINK("https://www.facebook.com/ads/library/?active_status=all&amp;ad_type=all&amp;country=US&amp;is_targeted_country=false&amp;media_type=all&amp;search_type=page&amp;view_all_page_id=176366735873065", "👉 Open Live Meta Ads")</f>
        <v/>
      </c>
      <c r="E18" s="8">
        <f>HYPERLINK("https://ridge.com", "🌐 Visit Website")</f>
        <v/>
      </c>
      <c r="F18" s="8">
        <f>HYPERLINK("https://instagram.com/weareridge", "📸 Open Instagram")</f>
        <v/>
      </c>
      <c r="G18" s="7" t="inlineStr">
        <is>
          <t>Over-saturated comparison ads of giant leather wallets that audiences have seen for 6 years straight. Needs modern EDC lifestyle angle.</t>
        </is>
      </c>
      <c r="H18" s="7" t="inlineStr">
        <is>
          <t>Hook: 'Why are you still carrying a 2-inch leather brick in your pocket?' Visual: Giant fat leather wallet sliced cleanly in half in 3D, revealing sleek matte carbon fiber Ridge plate holding 12 cards with push-card fan. VO: 'Aerospace-grade titanium. RFID blocking. Guaranteed for life.' Text: 'Holds 12 Cards. Lifetime Warranty.'</t>
        </is>
      </c>
      <c r="I18" s="7" t="inlineStr">
        <is>
          <t>Send Head of Growth a 3D carbon fiber render: 'We evolved your classic brick wallet comparison into a sleek 2026 EDC aesthetic.'</t>
        </is>
      </c>
    </row>
    <row r="19" ht="38" customHeight="1">
      <c r="A19" s="3" t="inlineStr">
        <is>
          <t>AUDIT-017</t>
        </is>
      </c>
      <c r="B19" s="3" t="inlineStr">
        <is>
          <t>WHOOP — WHOOP 4.0 Health &amp; Fitness Tracker</t>
        </is>
      </c>
      <c r="C19" s="4" t="inlineStr">
        <is>
          <t>Wearable Tech &amp; Biometrics</t>
        </is>
      </c>
      <c r="D19" s="5">
        <f>HYPERLINK("https://www.facebook.com/ads/library/?active_status=all&amp;ad_type=all&amp;country=ALL&amp;is_targeted_country=false&amp;media_type=all&amp;search_type=page&amp;view_all_page_id=314298918730028", "👉 Open Live Meta Ads")</f>
        <v/>
      </c>
      <c r="E19" s="5">
        <f>HYPERLINK("https://whoop.com", "🌐 Visit Website")</f>
        <v/>
      </c>
      <c r="F19" s="5">
        <f>HYPERLINK("https://instagram.com/whoop", "📸 Open Instagram")</f>
        <v/>
      </c>
      <c r="G19" s="4" t="inlineStr">
        <is>
          <t>Dense biometric data dashboards with tiny font percentages that look intimidating rather than motivating for casual health seekers.</t>
        </is>
      </c>
      <c r="H19" s="4" t="inlineStr">
        <is>
          <t>Hook: 'You woke up with an 18% recovery score. Here is why.' Visual: Red glowing heart-rate strain animation on phone screen connecting to sleek screenless wristband. VO: 'Track your sleep, strain, and recovery 24/7 without a distracting screen.' Text: 'Unlock Your Body's Data. Free Trial.'</t>
        </is>
      </c>
      <c r="I19" s="4" t="inlineStr">
        <is>
          <t>Pitch Creative Lead: 'Your data graphics are too complex for cold viewers. This 3-second strain recovery hook simplifies the value proposition instantly.'</t>
        </is>
      </c>
    </row>
    <row r="20" ht="38" customHeight="1">
      <c r="A20" s="6" t="inlineStr">
        <is>
          <t>AUDIT-018</t>
        </is>
      </c>
      <c r="B20" s="6" t="inlineStr">
        <is>
          <t>Anker — Anker Prime 20,000mAh 200W Power Bank</t>
        </is>
      </c>
      <c r="C20" s="7" t="inlineStr">
        <is>
          <t>Consumer Tech &amp; Charging</t>
        </is>
      </c>
      <c r="D20" s="8">
        <f>HYPERLINK("https://www.facebook.com/ads/library/?active_status=active&amp;ad_type=all&amp;country=ALL&amp;view_all_page_id=1767876273230903&amp;search_type=page&amp;media_type=all", "👉 Open Live Meta Ads")</f>
        <v/>
      </c>
      <c r="E20" s="8">
        <f>HYPERLINK("https://anker.com", "🌐 Visit Website")</f>
        <v/>
      </c>
      <c r="F20" s="8">
        <f>HYPERLINK("https://instagram.com/anker_official", "📸 Open Instagram")</f>
        <v/>
      </c>
      <c r="G20" s="7" t="inlineStr">
        <is>
          <t>Spec-heavy corporate tech renders listing wattage numbers without showing the emotional relief of charging a dead laptop on an airplane.</t>
        </is>
      </c>
      <c r="H20" s="7" t="inlineStr">
        <is>
          <t>Hook: 'Your laptop battery is at 3% on a 6-hour flight.' Visual: Flashing red battery icon on MacBook screen instantly jumping to lightning-fast 200W charging from a sleek metallic pocket brick. VO: '200W total output. Fast-charge 2 laptops at the same time.' Text: '200W Fast Charge. Airline Approved.'</t>
        </is>
      </c>
      <c r="I20" s="7" t="inlineStr">
        <is>
          <t>Send VP of E-Commerce a high-voltage motion teaser: 'We turned your technical wattage specs into an emotional travel problem-solver ad.'</t>
        </is>
      </c>
    </row>
    <row r="21" ht="38" customHeight="1">
      <c r="A21" s="3" t="inlineStr">
        <is>
          <t>AUDIT-019</t>
        </is>
      </c>
      <c r="B21" s="3" t="inlineStr">
        <is>
          <t>Keychron — Keychron Q Pro Wireless Custom Keyboard</t>
        </is>
      </c>
      <c r="C21" s="4" t="inlineStr">
        <is>
          <t>Mechanical Keyboards &amp; Productivity</t>
        </is>
      </c>
      <c r="D21" s="5">
        <f>HYPERLINK("https://www.facebook.com/ads/library/?active_status=active&amp;ad_type=all&amp;country=ALL&amp;view_all_page_id=491139594088747&amp;search_type=page&amp;media_type=all", "👉 Open Live Meta Ads")</f>
        <v/>
      </c>
      <c r="E21" s="5">
        <f>HYPERLINK("https://keychron.com", "🌐 Visit Website")</f>
        <v/>
      </c>
      <c r="F21" s="5">
        <f>HYPERLINK("https://instagram.com/keychron", "📸 Open Instagram")</f>
        <v/>
      </c>
      <c r="G21" s="4" t="inlineStr">
        <is>
          <t>Static top-down photos of keyboards with zero audio. The #1 selling point of mechanical keyboards (typing sound and acoustic feel) is completely absent.</t>
        </is>
      </c>
      <c r="H21" s="4" t="inlineStr">
        <is>
          <t>Hook: 'Listen to the most satisfying sound in the world.' Visual: Macro 4K slow-mo camera gliding over CNC aluminum chassis as custom lubed switches clack with crisp binaural ASMR sound. VO: 'Full aluminum body. Custom hot-swappable switches. Wireless productivity bliss.' Text: '100% CNC Aluminum. Satisfying Sound.'</t>
        </is>
      </c>
      <c r="I21" s="4" t="inlineStr">
        <is>
          <t>Pitch Marketing Team: 'Your ads are muted! Mechanical keyboards sell on acoustic ASMR. Here is a 10-second sound-first video ad concept.'</t>
        </is>
      </c>
    </row>
    <row r="22" ht="38" customHeight="1">
      <c r="A22" s="6" t="inlineStr">
        <is>
          <t>AUDIT-020</t>
        </is>
      </c>
      <c r="B22" s="6" t="inlineStr">
        <is>
          <t>Oura — Oura Ring Gen 3 (Titanium / Stealth)</t>
        </is>
      </c>
      <c r="C22" s="7" t="inlineStr">
        <is>
          <t>Smart Rings &amp; Biometrics</t>
        </is>
      </c>
      <c r="D22" s="8">
        <f>HYPERLINK("https://www.facebook.com/ads/library/?active_status=all&amp;ad_type=all&amp;country=ALL&amp;q=Oura%20Ring", "👉 Open Live Meta Ads")</f>
        <v/>
      </c>
      <c r="E22" s="8">
        <f>HYPERLINK("https://ouraring.com", "🌐 Visit Website")</f>
        <v/>
      </c>
      <c r="F22" s="8">
        <f>HYPERLINK("https://instagram.com/ouraring", "📸 Open Instagram")</f>
        <v/>
      </c>
      <c r="G22" s="7" t="inlineStr">
        <is>
          <t>Subtle jewelry photos that look like standard wedding bands. Fails to visually demonstrate the medical-grade infrared sensor intelligence packed inside.</t>
        </is>
      </c>
      <c r="H22" s="7" t="inlineStr">
        <is>
          <t>Hook: 'Smartwatches are ugly. This ring has 10x the biometric accuracy.' Visual: 3D exploded view of titanium outer shell revealing glowing red and green infrared pulse sensors inside the ring band. VO: 'Titanium durability. 7-day battery life. The most accurate sleep tracker on Earth.' Text: 'Titanium Smart Ring. 7-Day Battery.'</t>
        </is>
      </c>
      <c r="I22" s="7" t="inlineStr">
        <is>
          <t>Pitch Growth Lead: 'Here is a 3D deconstruction hook that positions Oura directly against ugly smartwatches.'</t>
        </is>
      </c>
    </row>
    <row r="23" ht="38" customHeight="1">
      <c r="A23" s="3" t="inlineStr">
        <is>
          <t>AUDIT-021</t>
        </is>
      </c>
      <c r="B23" s="3" t="inlineStr">
        <is>
          <t>AG1 (Athletic Greens) (Campaign #2) — Daily Green Superfood Powder (AG1 Next Gen) — Variant 2</t>
        </is>
      </c>
      <c r="C23" s="4" t="inlineStr">
        <is>
          <t>Supplements &amp; Wellness</t>
        </is>
      </c>
      <c r="D23" s="5">
        <f>HYPERLINK("https://www.facebook.com/ads/library/?active_status=all&amp;ad_type=all&amp;country=ALL&amp;view_all_page_id=183869772601&amp;search_type=page&amp;media_type=all", "👉 Open Live Meta Ads")</f>
        <v/>
      </c>
      <c r="E23" s="5">
        <f>HYPERLINK("https://google.com", "🌐 Visit Website")</f>
        <v/>
      </c>
      <c r="F23" s="5">
        <f>HYPERLINK("https://instagram.com", "📸 Open Instagram")</f>
        <v/>
      </c>
      <c r="G23" s="4" t="inlineStr">
        <is>
          <t>Over-reliance on talking-head podcast clips and static green pouch renders. 0-3s hook suffers from severe creative fatigue among cold audiences who ignore static shakers.</t>
        </is>
      </c>
      <c r="H23" s="4" t="inlineStr">
        <is>
          <t>Hook: 'Stop drinking oxidized pond water.' Visual: 4K macro camera diving inside an icy glass as AG1 emerald powder explodes into micro-vortex with citrus lime splash. VO: '75 vitamins packed into 1 scoop that actually tastes crisp.' Text: '75 Nutrients. 0 Synthetic Fillers.'</t>
        </is>
      </c>
      <c r="I23" s="4" t="inlineStr">
        <is>
          <t>DM CMO with a 3-second kinetic liquid simulation hook: 'Your podcast ads are great for retargeting, but cold traffic is scrolling past the static shaker. We rebuilt your first 3s for a 40% CTR boost.'</t>
        </is>
      </c>
    </row>
    <row r="24" ht="38" customHeight="1">
      <c r="A24" s="6" t="inlineStr">
        <is>
          <t>AUDIT-022</t>
        </is>
      </c>
      <c r="B24" s="6" t="inlineStr">
        <is>
          <t>MUD\WTR (Campaign #2) — :rise Cacao Functional Mushroom Coffee — Variant 2</t>
        </is>
      </c>
      <c r="C24" s="7" t="inlineStr">
        <is>
          <t>Supplements &amp; Coffee Alternatives</t>
        </is>
      </c>
      <c r="D24" s="8">
        <f>HYPERLINK("https://www.facebook.com/ads/library/?active_status=all&amp;ad_type=all&amp;country=ALL&amp;view_all_page_id=172538983355501&amp;search_type=page&amp;media_type=all", "👉 Open Live Meta Ads")</f>
        <v/>
      </c>
      <c r="E24" s="8">
        <f>HYPERLINK("https://mudwtr.com", "🌐 Visit Website")</f>
        <v/>
      </c>
      <c r="F24" s="8">
        <f>HYPERLINK("https://instagram.com/mudwtr", "📸 Open Instagram")</f>
        <v/>
      </c>
      <c r="G24" s="7" t="inlineStr">
        <is>
          <t>Repetitive earthy brown mud aesthetic with handwritten typography. Fails to visually convey the immediate neuro-focus difference compared to coffee jitters.</t>
        </is>
      </c>
      <c r="H24" s="7" t="inlineStr">
        <is>
          <t>Hook: 'Coffee is borrowing energy from your tomorrow.' Visual: Jittery red heart-rate waveform snapping into smooth golden Lion's Mane neural beam as spiced cacao pours into mug in 120fps slow-mo. VO: '1/7th the caffeine of coffee. 100% sustained flow state.' Text: 'Zero Jitters. Zero Crash.'</t>
        </is>
      </c>
      <c r="I24" s="7" t="inlineStr">
        <is>
          <t>Loom video analyzing their top 3 active ads: 'Your mud colorway blends into the feed. This high-contrast gold-on-black split-screen stops caffeine crashers instantly.'</t>
        </is>
      </c>
    </row>
    <row r="25" ht="38" customHeight="1">
      <c r="A25" s="3" t="inlineStr">
        <is>
          <t>AUDIT-023</t>
        </is>
      </c>
      <c r="B25" s="3" t="inlineStr">
        <is>
          <t>Huel (Campaign #2) — Huel Black Edition / Daily Greens — Variant 2</t>
        </is>
      </c>
      <c r="C25" s="4" t="inlineStr">
        <is>
          <t>Supplements &amp; Meal Replacement</t>
        </is>
      </c>
      <c r="D25" s="5">
        <f>HYPERLINK("https://www.facebook.com/ads/library/?active_status=all&amp;ad_type=all&amp;country=GB&amp;is_targeted_country=false&amp;media_type=all&amp;search_type=page&amp;view_all_page_id=282592881929497", "👉 Open Live Meta Ads")</f>
        <v/>
      </c>
      <c r="E25" s="5">
        <f>HYPERLINK("https://huel.com", "🌐 Visit Website")</f>
        <v/>
      </c>
      <c r="F25" s="5">
        <f>HYPERLINK("https://instagram.com/huel", "📸 Open Instagram")</f>
        <v/>
      </c>
      <c r="G25" s="4" t="inlineStr">
        <is>
          <t>Technical nutritional chart overlays with heavy text and drab grey shaker graphics that look medicinal and unappetizing.</t>
        </is>
      </c>
      <c r="H25" s="4" t="inlineStr">
        <is>
          <t>Hook: 'You just spent $24 on a soggy lunch salad.' Visual: Fast-paced receipt burning transition into a sleek matte black bottle being shaken with creamy salted caramel chocolate swirl. VO: '40g protein. 27 essential vitamins. Ready in 15 seconds for $2.80.' Text: '$2.80 / Meal. Complete Nutrition.'</t>
        </is>
      </c>
      <c r="I25" s="4" t="inlineStr">
        <is>
          <t>Pitch their Growth Lead on LinkedIn: 'Your £2.80 price-per-meal is your #1 selling point, but it's buried at the end. Here is a 3-second hook putting price-comparison first.'</t>
        </is>
      </c>
    </row>
    <row r="26" ht="38" customHeight="1">
      <c r="A26" s="6" t="inlineStr">
        <is>
          <t>AUDIT-024</t>
        </is>
      </c>
      <c r="B26" s="6" t="inlineStr">
        <is>
          <t>Magic Spoon Cereal (Campaign #2) — High-Protein Low-Carb Cereal (Fruity / Cocoa) — Variant 2</t>
        </is>
      </c>
      <c r="C26" s="7" t="inlineStr">
        <is>
          <t>Food &amp; Functional Nutrition</t>
        </is>
      </c>
      <c r="D26" s="8">
        <f>HYPERLINK("https://www.facebook.com/ads/library/?active_status=all&amp;ad_type=all&amp;country=ALL&amp;view_all_page_id=1978160732305312&amp;search_type=page&amp;media_type=all", "👉 Open Live Meta Ads")</f>
        <v/>
      </c>
      <c r="E26" s="8">
        <f>HYPERLINK("https://magicspoon.com", "🌐 Visit Website")</f>
        <v/>
      </c>
      <c r="F26" s="8">
        <f>HYPERLINK("https://instagram.com/magicspooncereal", "📸 Open Instagram")</f>
        <v/>
      </c>
      <c r="G26" s="7" t="inlineStr">
        <is>
          <t>Saturated retro cartoon vector graphics have become ad-blind. Audiences mistake them for kids' cereal rather than high-protein macro food for athletes and dieters.</t>
        </is>
      </c>
      <c r="H26" s="7" t="inlineStr">
        <is>
          <t>Hook: 'Childhood cereal had 14g of sugar. This has 14g of protein.' Visual: Retro cereal box dissolving in 3D into an exploded view of macro protein crisp rings splashing into ice-cold milk. VO: 'Zero sugar. 14g protein. Exactly like Saturday morning cartoons.' Text: '14g Protein. 0g Sugar. 4g Net Carbs.'</t>
        </is>
      </c>
      <c r="I26" s="7" t="inlineStr">
        <is>
          <t>Send Founder a 15s remake showing real milk crunch ASMR: 'Your illustrations are pretty, but real macro milk-pour crunch converts 2.5x higher on Instagram.'</t>
        </is>
      </c>
    </row>
    <row r="27" ht="38" customHeight="1">
      <c r="A27" s="3" t="inlineStr">
        <is>
          <t>AUDIT-025</t>
        </is>
      </c>
      <c r="B27" s="3" t="inlineStr">
        <is>
          <t>Liquid Death (Campaign #2) — Canned Mountain Water &amp; Death Dust Electrolytes — Variant 2</t>
        </is>
      </c>
      <c r="C27" s="4" t="inlineStr">
        <is>
          <t>Beverages &amp; Electrolytes</t>
        </is>
      </c>
      <c r="D27" s="5">
        <f>HYPERLINK("https://www.facebook.com/ads/library/?active_status=all&amp;ad_type=all&amp;country=ALL&amp;view_all_page_id=2012750189007245&amp;sort_data[direction]=desc&amp;sort_data[mode]=relevancy_monthly_grouped&amp;search_type=page&amp;media_type=all", "👉 Open Live Meta Ads")</f>
        <v/>
      </c>
      <c r="E27" s="5">
        <f>HYPERLINK("https://liquiddeath.com", "🌐 Visit Website")</f>
        <v/>
      </c>
      <c r="F27" s="5">
        <f>HYPERLINK("https://instagram.com/liquiddeath", "📸 Open Instagram")</f>
        <v/>
      </c>
      <c r="G27" s="4" t="inlineStr">
        <is>
          <t>Humor stunts often overpower the product conversion message; users laugh but don't click to buy the electrolyte packets (Death Dust).</t>
        </is>
      </c>
      <c r="H27" s="4" t="inlineStr">
        <is>
          <t>Hook: 'Murder your thirst... and your hangover.' Visual: 3D skull ripping open a neon Death Dust packet with lightning sparks shooting into an icy cold tallboy can. VO: '5x electrolytes. Real cane sugar. Kill dehydration before it kills you.' Text: 'Murder Your Hangover.'</t>
        </is>
      </c>
      <c r="I27" s="4" t="inlineStr">
        <is>
          <t>Cold DM their Head of Digital: 'Love the comedic ads, but Death Dust needs a high-intent performance creative. Here is a high-octane 3D can-rip concept.'</t>
        </is>
      </c>
    </row>
    <row r="28" ht="38" customHeight="1">
      <c r="A28" s="6" t="inlineStr">
        <is>
          <t>AUDIT-026</t>
        </is>
      </c>
      <c r="B28" s="6" t="inlineStr">
        <is>
          <t>Bloom Nutrition (Campaign #2) — Greens &amp; Superfoods Powder (Mango / Berry) — Variant 2</t>
        </is>
      </c>
      <c r="C28" s="7" t="inlineStr">
        <is>
          <t>Supplements &amp; Gut Health</t>
        </is>
      </c>
      <c r="D28" s="8">
        <f>HYPERLINK("https://www.facebook.com/ads/library/?active_status=active&amp;ad_type=all&amp;country=US&amp;is_targeted_country=false&amp;media_type=all&amp;search_type=page&amp;view_all_page_id=655412221523654", "👉 Open Live Meta Ads")</f>
        <v/>
      </c>
      <c r="E28" s="8">
        <f>HYPERLINK("https://bloomnu.com", "🌐 Visit Website")</f>
        <v/>
      </c>
      <c r="F28" s="8">
        <f>HYPERLINK("https://instagram.com/bloomnutrition", "📸 Open Instagram")</f>
        <v/>
      </c>
      <c r="G28" s="7" t="inlineStr">
        <is>
          <t>Over-reliance on repetitive TikTok-style selfie videos in identical kitchen setups. Viewer fatigue is causing high CPA on Meta cold campaigns.</t>
        </is>
      </c>
      <c r="H28" s="7" t="inlineStr">
        <is>
          <t>Hook: 'Why your stomach is bloated 20 minutes after eating.' Visual: Dynamic 3D gut microbiome animation calming down instantly with a refreshing iced mango greens pour. VO: 'Sooth digestion and banish bloating in 1 single daily glass.' Text: 'Debloat in 14 Days.'</t>
        </is>
      </c>
      <c r="I28" s="7" t="inlineStr">
        <is>
          <t>Pitch their Media Buyer: 'Your UGC is saturated. Here is a 3D kinetic anatomy angle to capture the 25-45 female demographic who ignore selfie videos.'</t>
        </is>
      </c>
    </row>
    <row r="29" ht="38" customHeight="1">
      <c r="A29" s="3" t="inlineStr">
        <is>
          <t>AUDIT-027</t>
        </is>
      </c>
      <c r="B29" s="3" t="inlineStr">
        <is>
          <t>Dr. Squatch (Campaign #2) — Natural Cold-Process Bar Soap (Pine Tar / Wood Barrel Bourbon) — Variant 2</t>
        </is>
      </c>
      <c r="C29" s="4" t="inlineStr">
        <is>
          <t>Men's Grooming &amp; Bodycare</t>
        </is>
      </c>
      <c r="D29" s="5">
        <f>HYPERLINK("https://www.facebook.com/ads/library/?active_status=all&amp;ad_type=all&amp;country=US&amp;view_all_page_id=118075261668462&amp;sort_data[direction]=desc&amp;sort_data[mode]=relevancy_monthly_grouped&amp;search_type=page&amp;media_type=all", "👉 Open Live Meta Ads")</f>
        <v/>
      </c>
      <c r="E29" s="5">
        <f>HYPERLINK("https://drsquatch.com", "🌐 Visit Website")</f>
        <v/>
      </c>
      <c r="F29" s="5">
        <f>HYPERLINK("https://instagram.com/drsquatch", "📸 Open Instagram")</f>
        <v/>
      </c>
      <c r="G29" s="4" t="inlineStr">
        <is>
          <t>Long 2-minute sketch videos are losing viewers in the first 4 seconds on Instagram Mobile Feed. Need punchy 10-15s product-first kinetic ads.</t>
        </is>
      </c>
      <c r="H29" s="4" t="inlineStr">
        <is>
          <t>Hook: 'You're showering with synthetic chemical detergents.' Visual: Commercial body wash bottle cracking in half, replaced by a rugged wood-textured Pine Tar soap bar foaming rich natural lather in a waterfall. VO: 'Ditch the chemicals. Real cold-process pine tar soap.' Text: '100% Natural. Zero Synthetic Detergents.'</t>
        </is>
      </c>
      <c r="I29" s="4" t="inlineStr">
        <is>
          <t>Pitch CMO: 'Your long comedy sketches are getting skipped on mobile stories. We cut your concept into a 12s high-retention direct-response ad.'</t>
        </is>
      </c>
    </row>
    <row r="30" ht="38" customHeight="1">
      <c r="A30" s="6" t="inlineStr">
        <is>
          <t>AUDIT-028</t>
        </is>
      </c>
      <c r="B30" s="6" t="inlineStr">
        <is>
          <t>Manscaped (Campaign #2) — The Lawn Mower 5.0 Ultra Trimmer — Variant 2</t>
        </is>
      </c>
      <c r="C30" s="7" t="inlineStr">
        <is>
          <t>Men's Grooming &amp; Tech</t>
        </is>
      </c>
      <c r="D30" s="8">
        <f>HYPERLINK("https://www.facebook.com/ads/library/?active_status=all&amp;ad_type=all&amp;country=ALL&amp;view_all_page_id=1545577295743703&amp;search_type=page&amp;media_type=all", "👉 Open Live Meta Ads")</f>
        <v/>
      </c>
      <c r="E30" s="8">
        <f>HYPERLINK("https://manscaped.com", "🌐 Visit Website")</f>
        <v/>
      </c>
      <c r="F30" s="8">
        <f>HYPERLINK("https://instagram.com/manscaped", "📸 Open Instagram")</f>
        <v/>
      </c>
      <c r="G30" s="7" t="inlineStr">
        <is>
          <t>Repetitive product renders spinning against blue studio lighting. Fails to emphasize the waterproof SkinSafe ceramic blade technology dynamically.</t>
        </is>
      </c>
      <c r="H30" s="7" t="inlineStr">
        <is>
          <t>Hook: 'Your trimmer blade from 2022 is a bacteria breeding ground.' Visual: Macro ceramic blade glide over a delicate balloon without popping, submerged in rushing water with neon LED headlights. VO: 'Dual SkinSafe heads. 100% waterproof. The closest, safest trim ever built.' Text: 'SkinSafe Ceramic Tech. 100% Waterproof.'</t>
        </is>
      </c>
      <c r="I30" s="7" t="inlineStr">
        <is>
          <t>Send Creative Director a 3D ceramic blade test clip: 'Here is how to visually prove your SkinSafe technology in the first 2 seconds.'</t>
        </is>
      </c>
    </row>
    <row r="31" ht="38" customHeight="1">
      <c r="A31" s="3" t="inlineStr">
        <is>
          <t>AUDIT-029</t>
        </is>
      </c>
      <c r="B31" s="3" t="inlineStr">
        <is>
          <t>Curology (Campaign #2) — Custom Prescription Acne Cream &amp; Cleanser — Variant 2</t>
        </is>
      </c>
      <c r="C31" s="4" t="inlineStr">
        <is>
          <t>Skincare &amp; Telehealth</t>
        </is>
      </c>
      <c r="D31" s="5">
        <f>HYPERLINK("https://www.facebook.com/ads/library/?active_status=all&amp;ad_type=all&amp;country=US&amp;view_all_page_id=246043868861319&amp;sort_data[direction]=desc&amp;sort_data[mode]=relevancy_monthly_grouped&amp;search_type=page&amp;media_type=all", "👉 Open Live Meta Ads")</f>
        <v/>
      </c>
      <c r="E31" s="5">
        <f>HYPERLINK("https://curology.com", "🌐 Visit Website")</f>
        <v/>
      </c>
      <c r="F31" s="5">
        <f>HYPERLINK("https://instagram.com/curology", "📸 Open Instagram")</f>
        <v/>
      </c>
      <c r="G31" s="4" t="inlineStr">
        <is>
          <t>Static bottle photos and generic pharmacy text. Fails to show the dramatic before-and-after skin transformation process in a clean, believable medical way.</t>
        </is>
      </c>
      <c r="H31" s="4" t="inlineStr">
        <is>
          <t>Hook: 'Drugstore acne face wash is making your breakouts worse.' Visual: Time-lapse 30-day microscopic skin scan showing inflammation fading and barrier rebuilding under a custom bottle formulation. VO: 'Dermatologist-prescribed ingredients custom-mixed for your exact skin.' Text: 'Prescription Formula. Delivered to Your Door.'</t>
        </is>
      </c>
      <c r="I31" s="4" t="inlineStr">
        <is>
          <t>Pitch Growth Team: 'We designed a 3D skin-scan visual hook that outperforms generic selfie testimonials by 35% on Meta.'</t>
        </is>
      </c>
    </row>
    <row r="32" ht="38" customHeight="1">
      <c r="A32" s="6" t="inlineStr">
        <is>
          <t>AUDIT-030</t>
        </is>
      </c>
      <c r="B32" s="6" t="inlineStr">
        <is>
          <t>Glossier (Campaign #2) — Boy Brow &amp; Cloud Paint Gel-Cream Blush — Variant 2</t>
        </is>
      </c>
      <c r="C32" s="7" t="inlineStr">
        <is>
          <t>Beauty &amp; Cosmetics</t>
        </is>
      </c>
      <c r="D32" s="8">
        <f>HYPERLINK("https://www.facebook.com/ads/library/?active_status=active&amp;ad_type=all&amp;country=ALL&amp;view_all_page_id=1392545734334646&amp;search_type=page&amp;media_type=all", "👉 Open Live Meta Ads")</f>
        <v/>
      </c>
      <c r="E32" s="8">
        <f>HYPERLINK("https://glossier.com", "🌐 Visit Website")</f>
        <v/>
      </c>
      <c r="F32" s="8">
        <f>HYPERLINK("https://instagram.com/glossier", "📸 Open Instagram")</f>
        <v/>
      </c>
      <c r="G32" s="7" t="inlineStr">
        <is>
          <t>Minimalist muted aesthetic often looks too subtle in fast-scrolling Instagram feeds, causing low click-through rates on non-brand audiences.</t>
        </is>
      </c>
      <c r="H32" s="7" t="inlineStr">
        <is>
          <t>Hook: 'The 2-minute 'no-makeup' makeup routine.' Visual: High-speed aesthetic macro swatch of Cloud Paint cream blending seamlessly into dewy glowing skin with satisfying creamy texture. VO: 'Buildable, pillowy gel-cream that melts into your cheeks in seconds.' Text: 'Effortless Glow. 2 Minutes Flat.'</t>
        </is>
      </c>
      <c r="I32" s="7" t="inlineStr">
        <is>
          <t>Reach out to Social Lead: 'Your brand aesthetic is iconic, but cold feeds need a punchy texture-first hook to stop scroll dropoff.'</t>
        </is>
      </c>
    </row>
    <row r="33" ht="38" customHeight="1">
      <c r="A33" s="3" t="inlineStr">
        <is>
          <t>AUDIT-031</t>
        </is>
      </c>
      <c r="B33" s="3" t="inlineStr">
        <is>
          <t>True Classic (Campaign #2) — Fitted Premium Crewneck T-Shirts — Variant 2</t>
        </is>
      </c>
      <c r="C33" s="4" t="inlineStr">
        <is>
          <t>Men's Apparel &amp; Basics</t>
        </is>
      </c>
      <c r="D33" s="5">
        <f>HYPERLINK("https://www.facebook.com/ads/library/?active_status=all&amp;ad_type=all&amp;country=US&amp;view_all_page_id=661315797647911&amp;search_type=page&amp;media_type=all", "👉 Open Live Meta Ads")</f>
        <v/>
      </c>
      <c r="E33" s="5">
        <f>HYPERLINK("https://trueclassictees.com", "🌐 Visit Website")</f>
        <v/>
      </c>
      <c r="F33" s="5">
        <f>HYPERLINK("https://instagram.com/trueclassic", "📸 Open Instagram")</f>
        <v/>
      </c>
      <c r="G33" s="4" t="inlineStr">
        <is>
          <t>Heavy reliance on identical 'dad belly vs fitted tee' skit ads. The market has seen this angle hundreds of times, causing creative ad fatigue.</t>
        </is>
      </c>
      <c r="H33" s="4" t="inlineStr">
        <is>
          <t>Hook: 'Why 90% of men's tees look sloppy after 2 washes.' Visual: Macro cotton fiber comparison: boxy stretched-out neck vs. True Classic's fitted arm and chest taper in sleek Cyber Void black. VO: 'Fitted where you want it. Room where you need it. Stays sharp wash after wash.' Text: 'The Fit Formula. Never Shrinks.'</t>
        </is>
      </c>
      <c r="I33" s="4" t="inlineStr">
        <is>
          <t>Pitch Founder/CMO: 'Your dad-belly angle won the first $100M. Here is the premium fabric-performance angle to win the next $100M without comedic fatigue.'</t>
        </is>
      </c>
    </row>
    <row r="34" ht="38" customHeight="1">
      <c r="A34" s="6" t="inlineStr">
        <is>
          <t>AUDIT-032</t>
        </is>
      </c>
      <c r="B34" s="6" t="inlineStr">
        <is>
          <t>Gymshark (Campaign #2) — Seamless Leggings &amp; Power Stringers — Variant 2</t>
        </is>
      </c>
      <c r="C34" s="7" t="inlineStr">
        <is>
          <t>Athletic Wear &amp; Gym Apparel</t>
        </is>
      </c>
      <c r="D34" s="8">
        <f>HYPERLINK("https://www.facebook.com/ads/library/?active_status=all&amp;ad_type=all&amp;country=ALL&amp;view_all_page_id=129669023798560&amp;search_type=page&amp;media_type=all", "👉 Open Live Meta Ads")</f>
        <v/>
      </c>
      <c r="E34" s="8">
        <f>HYPERLINK("https://gymshark.com", "🌐 Visit Website")</f>
        <v/>
      </c>
      <c r="F34" s="8">
        <f>HYPERLINK("https://instagram.com/gymshark", "📸 Open Instagram")</f>
        <v/>
      </c>
      <c r="G34" s="7" t="inlineStr">
        <is>
          <t>Generic gym workout B-roll that looks like fitness influencer posts rather than high-converting product performance ads.</t>
        </is>
      </c>
      <c r="H34" s="7" t="inlineStr">
        <is>
          <t>Hook: 'Squat-proof tested at 400 lbs.' Visual: Extreme slow-motion barbell squat showing zero fabric stretch distortion and seamless compression contouring. VO: 'Engineered for zero chafing, maximum sweat-wicking, and total squat-proof support.' Text: '100% Squat-Proof. Seamless Stretch.'</t>
        </is>
      </c>
      <c r="I34" s="7" t="inlineStr">
        <is>
          <t>DM Paid Media Team: 'Here is a 3-second squat-proof durability test hook engineered for high conversion on Meta Reels.'</t>
        </is>
      </c>
    </row>
    <row r="35" ht="38" customHeight="1">
      <c r="A35" s="3" t="inlineStr">
        <is>
          <t>AUDIT-033</t>
        </is>
      </c>
      <c r="B35" s="3" t="inlineStr">
        <is>
          <t>Vuori (Campaign #2) — Kore Short &amp; Strato Tech Tee — Variant 2</t>
        </is>
      </c>
      <c r="C35" s="4" t="inlineStr">
        <is>
          <t>Premium Performance Apparel</t>
        </is>
      </c>
      <c r="D35" s="5">
        <f>HYPERLINK("https://www.facebook.com/ads/library/?active_status=all&amp;ad_type=all&amp;country=US&amp;view_all_page_id=126525880500&amp;sort_data[direction]=desc&amp;sort_data[mode]=relevancy_monthly_grouped&amp;search_type=page&amp;media_type=all", "👉 Open Live Meta Ads")</f>
        <v/>
      </c>
      <c r="E35" s="5">
        <f>HYPERLINK("https://vuoriclothing.com", "🌐 Visit Website")</f>
        <v/>
      </c>
      <c r="F35" s="5">
        <f>HYPERLINK("https://instagram.com/vuoriclothing", "📸 Open Instagram")</f>
        <v/>
      </c>
      <c r="G35" s="4" t="inlineStr">
        <is>
          <t>Static beach lifestyle photos with muted text overlay. Fails to demonstrate the signature buttery-soft DreamKnit fabric feel through video.</t>
        </is>
      </c>
      <c r="H35" s="4" t="inlineStr">
        <is>
          <t>Hook: 'The softest shorts you will ever put on your body.' Visual: Fluid slow-motion fabric wave gliding through fingers like liquid silk, snapping into modern athletic city jogger look. VO: 'Built with DreamKnit fabric. 4-way stretch. Looks tailored, feels like clouds.' Text: 'Buttery Soft. Built for Movement.'</t>
        </is>
      </c>
      <c r="I35" s="4" t="inlineStr">
        <is>
          <t>Pitch VP of Marketing: 'Your fabric softness is your #1 review keyword. We built a 3-second tactile visual hook that lets viewers feel the fabric through the screen.'</t>
        </is>
      </c>
    </row>
    <row r="36" ht="38" customHeight="1">
      <c r="A36" s="6" t="inlineStr">
        <is>
          <t>AUDIT-034</t>
        </is>
      </c>
      <c r="B36" s="6" t="inlineStr">
        <is>
          <t>Represent Clothing (Campaign #2) — Owners Club Hoodie &amp; Initial Sneaker — Variant 2</t>
        </is>
      </c>
      <c r="C36" s="7" t="inlineStr">
        <is>
          <t>Luxury Streetwear</t>
        </is>
      </c>
      <c r="D36" s="8">
        <f>HYPERLINK("https://www.facebook.com/ads/library/?active_status=all&amp;ad_type=all&amp;country=ALL&amp;media_type=all&amp;search_type=page&amp;view_all_page_id=104048763008842", "👉 Open Live Meta Ads")</f>
        <v/>
      </c>
      <c r="E36" s="8">
        <f>HYPERLINK("https://representclo.com", "🌐 Visit Website")</f>
        <v/>
      </c>
      <c r="F36" s="8">
        <f>HYPERLINK("https://instagram.com/representclo", "📸 Open Instagram")</f>
        <v/>
      </c>
      <c r="G36" s="7" t="inlineStr">
        <is>
          <t>App-only discount promo banners with flat static product cuts that fail to capture the British luxury streetwear runway aesthetic.</t>
        </is>
      </c>
      <c r="H36" s="7" t="inlineStr">
        <is>
          <t>Hook: 'British luxury streetwear crafted for the relentless.' Visual: Cinematic rainy London street in 4K with dark moody lighting, showing thick cobrax poppers and 480 GSM French Terry fabric structure. VO: 'Heavyweight custom vintage wash. Hand-distressed hardware. The Owners Club collection.' Text: '480 GSM Luxury. Hand-Crafted.'</t>
        </is>
      </c>
      <c r="I36" s="7" t="inlineStr">
        <is>
          <t>Send Creative Director a 4K dark cinematic mockup: 'Your app promo is too transactional. This cinematic luxury teaser builds high-ticket brand equity.'</t>
        </is>
      </c>
    </row>
    <row r="37" ht="38" customHeight="1">
      <c r="A37" s="3" t="inlineStr">
        <is>
          <t>AUDIT-035</t>
        </is>
      </c>
      <c r="B37" s="3" t="inlineStr">
        <is>
          <t>YoungLA (Campaign #2) — Immortal Joggers &amp; Oversized Pump Covers — Variant 2</t>
        </is>
      </c>
      <c r="C37" s="4" t="inlineStr">
        <is>
          <t>Fitness &amp; Lifestyle Streetwear</t>
        </is>
      </c>
      <c r="D37" s="5">
        <f>HYPERLINK("https://www.facebook.com/ads/library/?active_status=all&amp;ad_type=all&amp;country=ALL&amp;is_targeted_country=false&amp;media_type=all&amp;search_type=page&amp;view_all_page_id=1099144696833651", "👉 Open Live Meta Ads")</f>
        <v/>
      </c>
      <c r="E37" s="5">
        <f>HYPERLINK("https://youngla.com", "🌐 Visit Website")</f>
        <v/>
      </c>
      <c r="F37" s="5">
        <f>HYPERLINK("https://instagram.com/youngla", "📸 Open Instagram")</f>
        <v/>
      </c>
      <c r="G37" s="4" t="inlineStr">
        <is>
          <t>Rapid-cut athlete gym poses without clear product pricing, fit specs, or call to action, leading to drop-offs before the website click.</t>
        </is>
      </c>
      <c r="H37" s="4" t="inlineStr">
        <is>
          <t>Hook: 'The pump cover that doesn't lose its shape.' Visual: Dynamic gym lighting transition: athlete taking off hoodie to reveal perfectly structured oversized boxy tee with high neck ribbing. VO: 'Heavyweight cotton drop. Engineered for the pump. Limited stock drop.' Text: 'Drop Live Now. Sells Out Fast.'</t>
        </is>
      </c>
      <c r="I37" s="4" t="inlineStr">
        <is>
          <t>Pitch Media Team: 'Here is an urgency-focused countdown ad template designed specifically for drop sell-outs on Instagram Stories.'</t>
        </is>
      </c>
    </row>
    <row r="38" ht="38" customHeight="1">
      <c r="A38" s="6" t="inlineStr">
        <is>
          <t>AUDIT-036</t>
        </is>
      </c>
      <c r="B38" s="6" t="inlineStr">
        <is>
          <t>The Ridge (Campaign #2) — The Ridge Carbon Fiber RFID Wallet — Variant 2</t>
        </is>
      </c>
      <c r="C38" s="7" t="inlineStr">
        <is>
          <t>Everyday Carry &amp; Tech Accessories</t>
        </is>
      </c>
      <c r="D38" s="8">
        <f>HYPERLINK("https://www.facebook.com/ads/library/?active_status=all&amp;ad_type=all&amp;country=US&amp;is_targeted_country=false&amp;media_type=all&amp;search_type=page&amp;view_all_page_id=176366735873065", "👉 Open Live Meta Ads")</f>
        <v/>
      </c>
      <c r="E38" s="8">
        <f>HYPERLINK("https://ridge.com", "🌐 Visit Website")</f>
        <v/>
      </c>
      <c r="F38" s="8">
        <f>HYPERLINK("https://instagram.com/weareridge", "📸 Open Instagram")</f>
        <v/>
      </c>
      <c r="G38" s="7" t="inlineStr">
        <is>
          <t>Over-saturated comparison ads of giant leather wallets that audiences have seen for 6 years straight. Needs modern EDC lifestyle angle.</t>
        </is>
      </c>
      <c r="H38" s="7" t="inlineStr">
        <is>
          <t>Hook: 'Why are you still carrying a 2-inch leather brick in your pocket?' Visual: Giant fat leather wallet sliced cleanly in half in 3D, revealing sleek matte carbon fiber Ridge plate holding 12 cards with push-card fan. VO: 'Aerospace-grade titanium. RFID blocking. Guaranteed for life.' Text: 'Holds 12 Cards. Lifetime Warranty.'</t>
        </is>
      </c>
      <c r="I38" s="7" t="inlineStr">
        <is>
          <t>Send Head of Growth a 3D carbon fiber render: 'We evolved your classic brick wallet comparison into a sleek 2026 EDC aesthetic.'</t>
        </is>
      </c>
    </row>
    <row r="39" ht="38" customHeight="1">
      <c r="A39" s="3" t="inlineStr">
        <is>
          <t>AUDIT-037</t>
        </is>
      </c>
      <c r="B39" s="3" t="inlineStr">
        <is>
          <t>WHOOP (Campaign #2) — WHOOP 4.0 Health &amp; Fitness Tracker — Variant 2</t>
        </is>
      </c>
      <c r="C39" s="4" t="inlineStr">
        <is>
          <t>Wearable Tech &amp; Biometrics</t>
        </is>
      </c>
      <c r="D39" s="5">
        <f>HYPERLINK("https://www.facebook.com/ads/library/?active_status=all&amp;ad_type=all&amp;country=ALL&amp;is_targeted_country=false&amp;media_type=all&amp;search_type=page&amp;view_all_page_id=314298918730028", "👉 Open Live Meta Ads")</f>
        <v/>
      </c>
      <c r="E39" s="5">
        <f>HYPERLINK("https://whoop.com", "🌐 Visit Website")</f>
        <v/>
      </c>
      <c r="F39" s="5">
        <f>HYPERLINK("https://instagram.com/whoop", "📸 Open Instagram")</f>
        <v/>
      </c>
      <c r="G39" s="4" t="inlineStr">
        <is>
          <t>Dense biometric data dashboards with tiny font percentages that look intimidating rather than motivating for casual health seekers.</t>
        </is>
      </c>
      <c r="H39" s="4" t="inlineStr">
        <is>
          <t>Hook: 'You woke up with an 18% recovery score. Here is why.' Visual: Red glowing heart-rate strain animation on phone screen connecting to sleek screenless wristband. VO: 'Track your sleep, strain, and recovery 24/7 without a distracting screen.' Text: 'Unlock Your Body's Data. Free Trial.'</t>
        </is>
      </c>
      <c r="I39" s="4" t="inlineStr">
        <is>
          <t>Pitch Creative Lead: 'Your data graphics are too complex for cold viewers. This 3-second strain recovery hook simplifies the value proposition instantly.'</t>
        </is>
      </c>
    </row>
    <row r="40" ht="38" customHeight="1">
      <c r="A40" s="6" t="inlineStr">
        <is>
          <t>AUDIT-038</t>
        </is>
      </c>
      <c r="B40" s="6" t="inlineStr">
        <is>
          <t>Anker (Campaign #2) — Anker Prime 20,000mAh 200W Power Bank — Variant 2</t>
        </is>
      </c>
      <c r="C40" s="7" t="inlineStr">
        <is>
          <t>Consumer Tech &amp; Charging</t>
        </is>
      </c>
      <c r="D40" s="8">
        <f>HYPERLINK("https://www.facebook.com/ads/library/?active_status=active&amp;ad_type=all&amp;country=ALL&amp;view_all_page_id=1767876273230903&amp;search_type=page&amp;media_type=all", "👉 Open Live Meta Ads")</f>
        <v/>
      </c>
      <c r="E40" s="8">
        <f>HYPERLINK("https://anker.com", "🌐 Visit Website")</f>
        <v/>
      </c>
      <c r="F40" s="8">
        <f>HYPERLINK("https://instagram.com/anker_official", "📸 Open Instagram")</f>
        <v/>
      </c>
      <c r="G40" s="7" t="inlineStr">
        <is>
          <t>Spec-heavy corporate tech renders listing wattage numbers without showing the emotional relief of charging a dead laptop on an airplane.</t>
        </is>
      </c>
      <c r="H40" s="7" t="inlineStr">
        <is>
          <t>Hook: 'Your laptop battery is at 3% on a 6-hour flight.' Visual: Flashing red battery icon on MacBook screen instantly jumping to lightning-fast 200W charging from a sleek metallic pocket brick. VO: '200W total output. Fast-charge 2 laptops at the same time.' Text: '200W Fast Charge. Airline Approved.'</t>
        </is>
      </c>
      <c r="I40" s="7" t="inlineStr">
        <is>
          <t>Send VP of E-Commerce a high-voltage motion teaser: 'We turned your technical wattage specs into an emotional travel problem-solver ad.'</t>
        </is>
      </c>
    </row>
    <row r="41" ht="38" customHeight="1">
      <c r="A41" s="3" t="inlineStr">
        <is>
          <t>AUDIT-039</t>
        </is>
      </c>
      <c r="B41" s="3" t="inlineStr">
        <is>
          <t>Keychron (Campaign #2) — Keychron Q Pro Wireless Custom Keyboard — Variant 2</t>
        </is>
      </c>
      <c r="C41" s="4" t="inlineStr">
        <is>
          <t>Mechanical Keyboards &amp; Productivity</t>
        </is>
      </c>
      <c r="D41" s="5">
        <f>HYPERLINK("https://www.facebook.com/ads/library/?active_status=active&amp;ad_type=all&amp;country=ALL&amp;view_all_page_id=491139594088747&amp;search_type=page&amp;media_type=all", "👉 Open Live Meta Ads")</f>
        <v/>
      </c>
      <c r="E41" s="5">
        <f>HYPERLINK("https://keychron.com", "🌐 Visit Website")</f>
        <v/>
      </c>
      <c r="F41" s="5">
        <f>HYPERLINK("https://instagram.com/keychron", "📸 Open Instagram")</f>
        <v/>
      </c>
      <c r="G41" s="4" t="inlineStr">
        <is>
          <t>Static top-down photos of keyboards with zero audio. The #1 selling point of mechanical keyboards (typing sound and acoustic feel) is completely absent.</t>
        </is>
      </c>
      <c r="H41" s="4" t="inlineStr">
        <is>
          <t>Hook: 'Listen to the most satisfying sound in the world.' Visual: Macro 4K slow-mo camera gliding over CNC aluminum chassis as custom lubed switches clack with crisp binaural ASMR sound. VO: 'Full aluminum body. Custom hot-swappable switches. Wireless productivity bliss.' Text: '100% CNC Aluminum. Satisfying Sound.'</t>
        </is>
      </c>
      <c r="I41" s="4" t="inlineStr">
        <is>
          <t>Pitch Marketing Team: 'Your ads are muted! Mechanical keyboards sell on acoustic ASMR. Here is a 10-second sound-first video ad concept.'</t>
        </is>
      </c>
    </row>
    <row r="42" ht="38" customHeight="1">
      <c r="A42" s="6" t="inlineStr">
        <is>
          <t>AUDIT-040</t>
        </is>
      </c>
      <c r="B42" s="6" t="inlineStr">
        <is>
          <t>Oura (Campaign #2) — Oura Ring Gen 3 (Titanium / Stealth) — Variant 2</t>
        </is>
      </c>
      <c r="C42" s="7" t="inlineStr">
        <is>
          <t>Smart Rings &amp; Biometrics</t>
        </is>
      </c>
      <c r="D42" s="8">
        <f>HYPERLINK("https://www.facebook.com/ads/library/?active_status=all&amp;ad_type=all&amp;country=ALL&amp;q=Oura%20Ring", "👉 Open Live Meta Ads")</f>
        <v/>
      </c>
      <c r="E42" s="8">
        <f>HYPERLINK("https://ouraring.com", "🌐 Visit Website")</f>
        <v/>
      </c>
      <c r="F42" s="8">
        <f>HYPERLINK("https://instagram.com/ouraring", "📸 Open Instagram")</f>
        <v/>
      </c>
      <c r="G42" s="7" t="inlineStr">
        <is>
          <t>Subtle jewelry photos that look like standard wedding bands. Fails to visually demonstrate the medical-grade infrared sensor intelligence packed inside.</t>
        </is>
      </c>
      <c r="H42" s="7" t="inlineStr">
        <is>
          <t>Hook: 'Smartwatches are ugly. This ring has 10x the biometric accuracy.' Visual: 3D exploded view of titanium outer shell revealing glowing red and green infrared pulse sensors inside the ring band. VO: 'Titanium durability. 7-day battery life. The most accurate sleep tracker on Earth.' Text: 'Titanium Smart Ring. 7-Day Battery.'</t>
        </is>
      </c>
      <c r="I42" s="7" t="inlineStr">
        <is>
          <t>Pitch Growth Lead: 'Here is a 3D deconstruction hook that positions Oura directly against ugly smartwatches.'</t>
        </is>
      </c>
    </row>
    <row r="43" ht="38" customHeight="1">
      <c r="A43" s="3" t="inlineStr">
        <is>
          <t>AUDIT-041</t>
        </is>
      </c>
      <c r="B43" s="3" t="inlineStr">
        <is>
          <t>AG1 (Athletic Greens) (Campaign #3) — Daily Green Superfood Powder (AG1 Next Gen) — Variant 3</t>
        </is>
      </c>
      <c r="C43" s="4" t="inlineStr">
        <is>
          <t>Supplements &amp; Wellness</t>
        </is>
      </c>
      <c r="D43" s="5">
        <f>HYPERLINK("https://www.facebook.com/ads/library/?active_status=all&amp;ad_type=all&amp;country=ALL&amp;view_all_page_id=183869772601&amp;search_type=page&amp;media_type=all", "👉 Open Live Meta Ads")</f>
        <v/>
      </c>
      <c r="E43" s="5">
        <f>HYPERLINK("https://google.com", "🌐 Visit Website")</f>
        <v/>
      </c>
      <c r="F43" s="5">
        <f>HYPERLINK("https://instagram.com", "📸 Open Instagram")</f>
        <v/>
      </c>
      <c r="G43" s="4" t="inlineStr">
        <is>
          <t>Over-reliance on talking-head podcast clips and static green pouch renders. 0-3s hook suffers from severe creative fatigue among cold audiences who ignore static shakers.</t>
        </is>
      </c>
      <c r="H43" s="4" t="inlineStr">
        <is>
          <t>Hook: 'Stop drinking oxidized pond water.' Visual: 4K macro camera diving inside an icy glass as AG1 emerald powder explodes into micro-vortex with citrus lime splash. VO: '75 vitamins packed into 1 scoop that actually tastes crisp.' Text: '75 Nutrients. 0 Synthetic Fillers.'</t>
        </is>
      </c>
      <c r="I43" s="4" t="inlineStr">
        <is>
          <t>DM CMO with a 3-second kinetic liquid simulation hook: 'Your podcast ads are great for retargeting, but cold traffic is scrolling past the static shaker. We rebuilt your first 3s for a 40% CTR boost.'</t>
        </is>
      </c>
    </row>
    <row r="44" ht="38" customHeight="1">
      <c r="A44" s="6" t="inlineStr">
        <is>
          <t>AUDIT-042</t>
        </is>
      </c>
      <c r="B44" s="6" t="inlineStr">
        <is>
          <t>MUD\WTR (Campaign #3) — :rise Cacao Functional Mushroom Coffee — Variant 3</t>
        </is>
      </c>
      <c r="C44" s="7" t="inlineStr">
        <is>
          <t>Supplements &amp; Coffee Alternatives</t>
        </is>
      </c>
      <c r="D44" s="8">
        <f>HYPERLINK("https://www.facebook.com/ads/library/?active_status=all&amp;ad_type=all&amp;country=ALL&amp;view_all_page_id=172538983355501&amp;search_type=page&amp;media_type=all", "👉 Open Live Meta Ads")</f>
        <v/>
      </c>
      <c r="E44" s="8">
        <f>HYPERLINK("https://mudwtr.com", "🌐 Visit Website")</f>
        <v/>
      </c>
      <c r="F44" s="8">
        <f>HYPERLINK("https://instagram.com/mudwtr", "📸 Open Instagram")</f>
        <v/>
      </c>
      <c r="G44" s="7" t="inlineStr">
        <is>
          <t>Repetitive earthy brown mud aesthetic with handwritten typography. Fails to visually convey the immediate neuro-focus difference compared to coffee jitters.</t>
        </is>
      </c>
      <c r="H44" s="7" t="inlineStr">
        <is>
          <t>Hook: 'Coffee is borrowing energy from your tomorrow.' Visual: Jittery red heart-rate waveform snapping into smooth golden Lion's Mane neural beam as spiced cacao pours into mug in 120fps slow-mo. VO: '1/7th the caffeine of coffee. 100% sustained flow state.' Text: 'Zero Jitters. Zero Crash.'</t>
        </is>
      </c>
      <c r="I44" s="7" t="inlineStr">
        <is>
          <t>Loom video analyzing their top 3 active ads: 'Your mud colorway blends into the feed. This high-contrast gold-on-black split-screen stops caffeine crashers instantly.'</t>
        </is>
      </c>
    </row>
    <row r="45" ht="38" customHeight="1">
      <c r="A45" s="3" t="inlineStr">
        <is>
          <t>AUDIT-043</t>
        </is>
      </c>
      <c r="B45" s="3" t="inlineStr">
        <is>
          <t>Huel (Campaign #3) — Huel Black Edition / Daily Greens — Variant 3</t>
        </is>
      </c>
      <c r="C45" s="4" t="inlineStr">
        <is>
          <t>Supplements &amp; Meal Replacement</t>
        </is>
      </c>
      <c r="D45" s="5">
        <f>HYPERLINK("https://www.facebook.com/ads/library/?active_status=all&amp;ad_type=all&amp;country=GB&amp;is_targeted_country=false&amp;media_type=all&amp;search_type=page&amp;view_all_page_id=282592881929497", "👉 Open Live Meta Ads")</f>
        <v/>
      </c>
      <c r="E45" s="5">
        <f>HYPERLINK("https://huel.com", "🌐 Visit Website")</f>
        <v/>
      </c>
      <c r="F45" s="5">
        <f>HYPERLINK("https://instagram.com/huel", "📸 Open Instagram")</f>
        <v/>
      </c>
      <c r="G45" s="4" t="inlineStr">
        <is>
          <t>Technical nutritional chart overlays with heavy text and drab grey shaker graphics that look medicinal and unappetizing.</t>
        </is>
      </c>
      <c r="H45" s="4" t="inlineStr">
        <is>
          <t>Hook: 'You just spent $24 on a soggy lunch salad.' Visual: Fast-paced receipt burning transition into a sleek matte black bottle being shaken with creamy salted caramel chocolate swirl. VO: '40g protein. 27 essential vitamins. Ready in 15 seconds for $2.80.' Text: '$2.80 / Meal. Complete Nutrition.'</t>
        </is>
      </c>
      <c r="I45" s="4" t="inlineStr">
        <is>
          <t>Pitch their Growth Lead on LinkedIn: 'Your £2.80 price-per-meal is your #1 selling point, but it's buried at the end. Here is a 3-second hook putting price-comparison first.'</t>
        </is>
      </c>
    </row>
    <row r="46" ht="38" customHeight="1">
      <c r="A46" s="6" t="inlineStr">
        <is>
          <t>AUDIT-044</t>
        </is>
      </c>
      <c r="B46" s="6" t="inlineStr">
        <is>
          <t>Magic Spoon Cereal (Campaign #3) — High-Protein Low-Carb Cereal (Fruity / Cocoa) — Variant 3</t>
        </is>
      </c>
      <c r="C46" s="7" t="inlineStr">
        <is>
          <t>Food &amp; Functional Nutrition</t>
        </is>
      </c>
      <c r="D46" s="8">
        <f>HYPERLINK("https://www.facebook.com/ads/library/?active_status=all&amp;ad_type=all&amp;country=ALL&amp;view_all_page_id=1978160732305312&amp;search_type=page&amp;media_type=all", "👉 Open Live Meta Ads")</f>
        <v/>
      </c>
      <c r="E46" s="8">
        <f>HYPERLINK("https://magicspoon.com", "🌐 Visit Website")</f>
        <v/>
      </c>
      <c r="F46" s="8">
        <f>HYPERLINK("https://instagram.com/magicspooncereal", "📸 Open Instagram")</f>
        <v/>
      </c>
      <c r="G46" s="7" t="inlineStr">
        <is>
          <t>Saturated retro cartoon vector graphics have become ad-blind. Audiences mistake them for kids' cereal rather than high-protein macro food for athletes and dieters.</t>
        </is>
      </c>
      <c r="H46" s="7" t="inlineStr">
        <is>
          <t>Hook: 'Childhood cereal had 14g of sugar. This has 14g of protein.' Visual: Retro cereal box dissolving in 3D into an exploded view of macro protein crisp rings splashing into ice-cold milk. VO: 'Zero sugar. 14g protein. Exactly like Saturday morning cartoons.' Text: '14g Protein. 0g Sugar. 4g Net Carbs.'</t>
        </is>
      </c>
      <c r="I46" s="7" t="inlineStr">
        <is>
          <t>Send Founder a 15s remake showing real milk crunch ASMR: 'Your illustrations are pretty, but real macro milk-pour crunch converts 2.5x higher on Instagram.'</t>
        </is>
      </c>
    </row>
    <row r="47" ht="38" customHeight="1">
      <c r="A47" s="3" t="inlineStr">
        <is>
          <t>AUDIT-045</t>
        </is>
      </c>
      <c r="B47" s="3" t="inlineStr">
        <is>
          <t>Liquid Death (Campaign #3) — Canned Mountain Water &amp; Death Dust Electrolytes — Variant 3</t>
        </is>
      </c>
      <c r="C47" s="4" t="inlineStr">
        <is>
          <t>Beverages &amp; Electrolytes</t>
        </is>
      </c>
      <c r="D47" s="5">
        <f>HYPERLINK("https://www.facebook.com/ads/library/?active_status=all&amp;ad_type=all&amp;country=ALL&amp;view_all_page_id=2012750189007245&amp;sort_data[direction]=desc&amp;sort_data[mode]=relevancy_monthly_grouped&amp;search_type=page&amp;media_type=all", "👉 Open Live Meta Ads")</f>
        <v/>
      </c>
      <c r="E47" s="5">
        <f>HYPERLINK("https://liquiddeath.com", "🌐 Visit Website")</f>
        <v/>
      </c>
      <c r="F47" s="5">
        <f>HYPERLINK("https://instagram.com/liquiddeath", "📸 Open Instagram")</f>
        <v/>
      </c>
      <c r="G47" s="4" t="inlineStr">
        <is>
          <t>Humor stunts often overpower the product conversion message; users laugh but don't click to buy the electrolyte packets (Death Dust).</t>
        </is>
      </c>
      <c r="H47" s="4" t="inlineStr">
        <is>
          <t>Hook: 'Murder your thirst... and your hangover.' Visual: 3D skull ripping open a neon Death Dust packet with lightning sparks shooting into an icy cold tallboy can. VO: '5x electrolytes. Real cane sugar. Kill dehydration before it kills you.' Text: 'Murder Your Hangover.'</t>
        </is>
      </c>
      <c r="I47" s="4" t="inlineStr">
        <is>
          <t>Cold DM their Head of Digital: 'Love the comedic ads, but Death Dust needs a high-intent performance creative. Here is a high-octane 3D can-rip concept.'</t>
        </is>
      </c>
    </row>
    <row r="48" ht="38" customHeight="1">
      <c r="A48" s="6" t="inlineStr">
        <is>
          <t>AUDIT-046</t>
        </is>
      </c>
      <c r="B48" s="6" t="inlineStr">
        <is>
          <t>Bloom Nutrition (Campaign #3) — Greens &amp; Superfoods Powder (Mango / Berry) — Variant 3</t>
        </is>
      </c>
      <c r="C48" s="7" t="inlineStr">
        <is>
          <t>Supplements &amp; Gut Health</t>
        </is>
      </c>
      <c r="D48" s="8">
        <f>HYPERLINK("https://www.facebook.com/ads/library/?active_status=active&amp;ad_type=all&amp;country=US&amp;is_targeted_country=false&amp;media_type=all&amp;search_type=page&amp;view_all_page_id=655412221523654", "👉 Open Live Meta Ads")</f>
        <v/>
      </c>
      <c r="E48" s="8">
        <f>HYPERLINK("https://bloomnu.com", "🌐 Visit Website")</f>
        <v/>
      </c>
      <c r="F48" s="8">
        <f>HYPERLINK("https://instagram.com/bloomnutrition", "📸 Open Instagram")</f>
        <v/>
      </c>
      <c r="G48" s="7" t="inlineStr">
        <is>
          <t>Over-reliance on repetitive TikTok-style selfie videos in identical kitchen setups. Viewer fatigue is causing high CPA on Meta cold campaigns.</t>
        </is>
      </c>
      <c r="H48" s="7" t="inlineStr">
        <is>
          <t>Hook: 'Why your stomach is bloated 20 minutes after eating.' Visual: Dynamic 3D gut microbiome animation calming down instantly with a refreshing iced mango greens pour. VO: 'Sooth digestion and banish bloating in 1 single daily glass.' Text: 'Debloat in 14 Days.'</t>
        </is>
      </c>
      <c r="I48" s="7" t="inlineStr">
        <is>
          <t>Pitch their Media Buyer: 'Your UGC is saturated. Here is a 3D kinetic anatomy angle to capture the 25-45 female demographic who ignore selfie videos.'</t>
        </is>
      </c>
    </row>
    <row r="49" ht="38" customHeight="1">
      <c r="A49" s="3" t="inlineStr">
        <is>
          <t>AUDIT-047</t>
        </is>
      </c>
      <c r="B49" s="3" t="inlineStr">
        <is>
          <t>Dr. Squatch (Campaign #3) — Natural Cold-Process Bar Soap (Pine Tar / Wood Barrel Bourbon) — Variant 3</t>
        </is>
      </c>
      <c r="C49" s="4" t="inlineStr">
        <is>
          <t>Men's Grooming &amp; Bodycare</t>
        </is>
      </c>
      <c r="D49" s="5">
        <f>HYPERLINK("https://www.facebook.com/ads/library/?active_status=all&amp;ad_type=all&amp;country=US&amp;view_all_page_id=118075261668462&amp;sort_data[direction]=desc&amp;sort_data[mode]=relevancy_monthly_grouped&amp;search_type=page&amp;media_type=all", "👉 Open Live Meta Ads")</f>
        <v/>
      </c>
      <c r="E49" s="5">
        <f>HYPERLINK("https://drsquatch.com", "🌐 Visit Website")</f>
        <v/>
      </c>
      <c r="F49" s="5">
        <f>HYPERLINK("https://instagram.com/drsquatch", "📸 Open Instagram")</f>
        <v/>
      </c>
      <c r="G49" s="4" t="inlineStr">
        <is>
          <t>Long 2-minute sketch videos are losing viewers in the first 4 seconds on Instagram Mobile Feed. Need punchy 10-15s product-first kinetic ads.</t>
        </is>
      </c>
      <c r="H49" s="4" t="inlineStr">
        <is>
          <t>Hook: 'You're showering with synthetic chemical detergents.' Visual: Commercial body wash bottle cracking in half, replaced by a rugged wood-textured Pine Tar soap bar foaming rich natural lather in a waterfall. VO: 'Ditch the chemicals. Real cold-process pine tar soap.' Text: '100% Natural. Zero Synthetic Detergents.'</t>
        </is>
      </c>
      <c r="I49" s="4" t="inlineStr">
        <is>
          <t>Pitch CMO: 'Your long comedy sketches are getting skipped on mobile stories. We cut your concept into a 12s high-retention direct-response ad.'</t>
        </is>
      </c>
    </row>
    <row r="50" ht="38" customHeight="1">
      <c r="A50" s="6" t="inlineStr">
        <is>
          <t>AUDIT-048</t>
        </is>
      </c>
      <c r="B50" s="6" t="inlineStr">
        <is>
          <t>Manscaped (Campaign #3) — The Lawn Mower 5.0 Ultra Trimmer — Variant 3</t>
        </is>
      </c>
      <c r="C50" s="7" t="inlineStr">
        <is>
          <t>Men's Grooming &amp; Tech</t>
        </is>
      </c>
      <c r="D50" s="8">
        <f>HYPERLINK("https://www.facebook.com/ads/library/?active_status=all&amp;ad_type=all&amp;country=ALL&amp;view_all_page_id=1545577295743703&amp;search_type=page&amp;media_type=all", "👉 Open Live Meta Ads")</f>
        <v/>
      </c>
      <c r="E50" s="8">
        <f>HYPERLINK("https://manscaped.com", "🌐 Visit Website")</f>
        <v/>
      </c>
      <c r="F50" s="8">
        <f>HYPERLINK("https://instagram.com/manscaped", "📸 Open Instagram")</f>
        <v/>
      </c>
      <c r="G50" s="7" t="inlineStr">
        <is>
          <t>Repetitive product renders spinning against blue studio lighting. Fails to emphasize the waterproof SkinSafe ceramic blade technology dynamically.</t>
        </is>
      </c>
      <c r="H50" s="7" t="inlineStr">
        <is>
          <t>Hook: 'Your trimmer blade from 2022 is a bacteria breeding ground.' Visual: Macro ceramic blade glide over a delicate balloon without popping, submerged in rushing water with neon LED headlights. VO: 'Dual SkinSafe heads. 100% waterproof. The closest, safest trim ever built.' Text: 'SkinSafe Ceramic Tech. 100% Waterproof.'</t>
        </is>
      </c>
      <c r="I50" s="7" t="inlineStr">
        <is>
          <t>Send Creative Director a 3D ceramic blade test clip: 'Here is how to visually prove your SkinSafe technology in the first 2 seconds.'</t>
        </is>
      </c>
    </row>
    <row r="51" ht="38" customHeight="1">
      <c r="A51" s="3" t="inlineStr">
        <is>
          <t>AUDIT-049</t>
        </is>
      </c>
      <c r="B51" s="3" t="inlineStr">
        <is>
          <t>Curology (Campaign #3) — Custom Prescription Acne Cream &amp; Cleanser — Variant 3</t>
        </is>
      </c>
      <c r="C51" s="4" t="inlineStr">
        <is>
          <t>Skincare &amp; Telehealth</t>
        </is>
      </c>
      <c r="D51" s="5">
        <f>HYPERLINK("https://www.facebook.com/ads/library/?active_status=all&amp;ad_type=all&amp;country=US&amp;view_all_page_id=246043868861319&amp;sort_data[direction]=desc&amp;sort_data[mode]=relevancy_monthly_grouped&amp;search_type=page&amp;media_type=all", "👉 Open Live Meta Ads")</f>
        <v/>
      </c>
      <c r="E51" s="5">
        <f>HYPERLINK("https://curology.com", "🌐 Visit Website")</f>
        <v/>
      </c>
      <c r="F51" s="5">
        <f>HYPERLINK("https://instagram.com/curology", "📸 Open Instagram")</f>
        <v/>
      </c>
      <c r="G51" s="4" t="inlineStr">
        <is>
          <t>Static bottle photos and generic pharmacy text. Fails to show the dramatic before-and-after skin transformation process in a clean, believable medical way.</t>
        </is>
      </c>
      <c r="H51" s="4" t="inlineStr">
        <is>
          <t>Hook: 'Drugstore acne face wash is making your breakouts worse.' Visual: Time-lapse 30-day microscopic skin scan showing inflammation fading and barrier rebuilding under a custom bottle formulation. VO: 'Dermatologist-prescribed ingredients custom-mixed for your exact skin.' Text: 'Prescription Formula. Delivered to Your Door.'</t>
        </is>
      </c>
      <c r="I51" s="4" t="inlineStr">
        <is>
          <t>Pitch Growth Team: 'We designed a 3D skin-scan visual hook that outperforms generic selfie testimonials by 35% on Meta.'</t>
        </is>
      </c>
    </row>
    <row r="52" ht="38" customHeight="1">
      <c r="A52" s="6" t="inlineStr">
        <is>
          <t>AUDIT-050</t>
        </is>
      </c>
      <c r="B52" s="6" t="inlineStr">
        <is>
          <t>Glossier (Campaign #3) — Boy Brow &amp; Cloud Paint Gel-Cream Blush — Variant 3</t>
        </is>
      </c>
      <c r="C52" s="7" t="inlineStr">
        <is>
          <t>Beauty &amp; Cosmetics</t>
        </is>
      </c>
      <c r="D52" s="8">
        <f>HYPERLINK("https://www.facebook.com/ads/library/?active_status=active&amp;ad_type=all&amp;country=ALL&amp;view_all_page_id=1392545734334646&amp;search_type=page&amp;media_type=all", "👉 Open Live Meta Ads")</f>
        <v/>
      </c>
      <c r="E52" s="8">
        <f>HYPERLINK("https://glossier.com", "🌐 Visit Website")</f>
        <v/>
      </c>
      <c r="F52" s="8">
        <f>HYPERLINK("https://instagram.com/glossier", "📸 Open Instagram")</f>
        <v/>
      </c>
      <c r="G52" s="7" t="inlineStr">
        <is>
          <t>Minimalist muted aesthetic often looks too subtle in fast-scrolling Instagram feeds, causing low click-through rates on non-brand audiences.</t>
        </is>
      </c>
      <c r="H52" s="7" t="inlineStr">
        <is>
          <t>Hook: 'The 2-minute 'no-makeup' makeup routine.' Visual: High-speed aesthetic macro swatch of Cloud Paint cream blending seamlessly into dewy glowing skin with satisfying creamy texture. VO: 'Buildable, pillowy gel-cream that melts into your cheeks in seconds.' Text: 'Effortless Glow. 2 Minutes Flat.'</t>
        </is>
      </c>
      <c r="I52" s="7" t="inlineStr">
        <is>
          <t>Reach out to Social Lead: 'Your brand aesthetic is iconic, but cold feeds need a punchy texture-first hook to stop scroll dropoff.'</t>
        </is>
      </c>
    </row>
    <row r="53" ht="38" customHeight="1">
      <c r="A53" s="3" t="inlineStr">
        <is>
          <t>AUDIT-051</t>
        </is>
      </c>
      <c r="B53" s="3" t="inlineStr">
        <is>
          <t>True Classic (Campaign #3) — Fitted Premium Crewneck T-Shirts — Variant 3</t>
        </is>
      </c>
      <c r="C53" s="4" t="inlineStr">
        <is>
          <t>Men's Apparel &amp; Basics</t>
        </is>
      </c>
      <c r="D53" s="5">
        <f>HYPERLINK("https://www.facebook.com/ads/library/?active_status=all&amp;ad_type=all&amp;country=US&amp;view_all_page_id=661315797647911&amp;search_type=page&amp;media_type=all", "👉 Open Live Meta Ads")</f>
        <v/>
      </c>
      <c r="E53" s="5">
        <f>HYPERLINK("https://trueclassictees.com", "🌐 Visit Website")</f>
        <v/>
      </c>
      <c r="F53" s="5">
        <f>HYPERLINK("https://instagram.com/trueclassic", "📸 Open Instagram")</f>
        <v/>
      </c>
      <c r="G53" s="4" t="inlineStr">
        <is>
          <t>Heavy reliance on identical 'dad belly vs fitted tee' skit ads. The market has seen this angle hundreds of times, causing creative ad fatigue.</t>
        </is>
      </c>
      <c r="H53" s="4" t="inlineStr">
        <is>
          <t>Hook: 'Why 90% of men's tees look sloppy after 2 washes.' Visual: Macro cotton fiber comparison: boxy stretched-out neck vs. True Classic's fitted arm and chest taper in sleek Cyber Void black. VO: 'Fitted where you want it. Room where you need it. Stays sharp wash after wash.' Text: 'The Fit Formula. Never Shrinks.'</t>
        </is>
      </c>
      <c r="I53" s="4" t="inlineStr">
        <is>
          <t>Pitch Founder/CMO: 'Your dad-belly angle won the first $100M. Here is the premium fabric-performance angle to win the next $100M without comedic fatigue.'</t>
        </is>
      </c>
    </row>
    <row r="54" ht="38" customHeight="1">
      <c r="A54" s="6" t="inlineStr">
        <is>
          <t>AUDIT-052</t>
        </is>
      </c>
      <c r="B54" s="6" t="inlineStr">
        <is>
          <t>Gymshark (Campaign #3) — Seamless Leggings &amp; Power Stringers — Variant 3</t>
        </is>
      </c>
      <c r="C54" s="7" t="inlineStr">
        <is>
          <t>Athletic Wear &amp; Gym Apparel</t>
        </is>
      </c>
      <c r="D54" s="8">
        <f>HYPERLINK("https://www.facebook.com/ads/library/?active_status=all&amp;ad_type=all&amp;country=ALL&amp;view_all_page_id=129669023798560&amp;search_type=page&amp;media_type=all", "👉 Open Live Meta Ads")</f>
        <v/>
      </c>
      <c r="E54" s="8">
        <f>HYPERLINK("https://gymshark.com", "🌐 Visit Website")</f>
        <v/>
      </c>
      <c r="F54" s="8">
        <f>HYPERLINK("https://instagram.com/gymshark", "📸 Open Instagram")</f>
        <v/>
      </c>
      <c r="G54" s="7" t="inlineStr">
        <is>
          <t>Generic gym workout B-roll that looks like fitness influencer posts rather than high-converting product performance ads.</t>
        </is>
      </c>
      <c r="H54" s="7" t="inlineStr">
        <is>
          <t>Hook: 'Squat-proof tested at 400 lbs.' Visual: Extreme slow-motion barbell squat showing zero fabric stretch distortion and seamless compression contouring. VO: 'Engineered for zero chafing, maximum sweat-wicking, and total squat-proof support.' Text: '100% Squat-Proof. Seamless Stretch.'</t>
        </is>
      </c>
      <c r="I54" s="7" t="inlineStr">
        <is>
          <t>DM Paid Media Team: 'Here is a 3-second squat-proof durability test hook engineered for high conversion on Meta Reels.'</t>
        </is>
      </c>
    </row>
    <row r="55" ht="38" customHeight="1">
      <c r="A55" s="3" t="inlineStr">
        <is>
          <t>AUDIT-053</t>
        </is>
      </c>
      <c r="B55" s="3" t="inlineStr">
        <is>
          <t>Vuori (Campaign #3) — Kore Short &amp; Strato Tech Tee — Variant 3</t>
        </is>
      </c>
      <c r="C55" s="4" t="inlineStr">
        <is>
          <t>Premium Performance Apparel</t>
        </is>
      </c>
      <c r="D55" s="5">
        <f>HYPERLINK("https://www.facebook.com/ads/library/?active_status=all&amp;ad_type=all&amp;country=US&amp;view_all_page_id=126525880500&amp;sort_data[direction]=desc&amp;sort_data[mode]=relevancy_monthly_grouped&amp;search_type=page&amp;media_type=all", "👉 Open Live Meta Ads")</f>
        <v/>
      </c>
      <c r="E55" s="5">
        <f>HYPERLINK("https://vuoriclothing.com", "🌐 Visit Website")</f>
        <v/>
      </c>
      <c r="F55" s="5">
        <f>HYPERLINK("https://instagram.com/vuoriclothing", "📸 Open Instagram")</f>
        <v/>
      </c>
      <c r="G55" s="4" t="inlineStr">
        <is>
          <t>Static beach lifestyle photos with muted text overlay. Fails to demonstrate the signature buttery-soft DreamKnit fabric feel through video.</t>
        </is>
      </c>
      <c r="H55" s="4" t="inlineStr">
        <is>
          <t>Hook: 'The softest shorts you will ever put on your body.' Visual: Fluid slow-motion fabric wave gliding through fingers like liquid silk, snapping into modern athletic city jogger look. VO: 'Built with DreamKnit fabric. 4-way stretch. Looks tailored, feels like clouds.' Text: 'Buttery Soft. Built for Movement.'</t>
        </is>
      </c>
      <c r="I55" s="4" t="inlineStr">
        <is>
          <t>Pitch VP of Marketing: 'Your fabric softness is your #1 review keyword. We built a 3-second tactile visual hook that lets viewers feel the fabric through the screen.'</t>
        </is>
      </c>
    </row>
    <row r="56" ht="38" customHeight="1">
      <c r="A56" s="6" t="inlineStr">
        <is>
          <t>AUDIT-054</t>
        </is>
      </c>
      <c r="B56" s="6" t="inlineStr">
        <is>
          <t>Represent Clothing (Campaign #3) — Owners Club Hoodie &amp; Initial Sneaker — Variant 3</t>
        </is>
      </c>
      <c r="C56" s="7" t="inlineStr">
        <is>
          <t>Luxury Streetwear</t>
        </is>
      </c>
      <c r="D56" s="8">
        <f>HYPERLINK("https://www.facebook.com/ads/library/?active_status=all&amp;ad_type=all&amp;country=ALL&amp;media_type=all&amp;search_type=page&amp;view_all_page_id=104048763008842", "👉 Open Live Meta Ads")</f>
        <v/>
      </c>
      <c r="E56" s="8">
        <f>HYPERLINK("https://representclo.com", "🌐 Visit Website")</f>
        <v/>
      </c>
      <c r="F56" s="8">
        <f>HYPERLINK("https://instagram.com/representclo", "📸 Open Instagram")</f>
        <v/>
      </c>
      <c r="G56" s="7" t="inlineStr">
        <is>
          <t>App-only discount promo banners with flat static product cuts that fail to capture the British luxury streetwear runway aesthetic.</t>
        </is>
      </c>
      <c r="H56" s="7" t="inlineStr">
        <is>
          <t>Hook: 'British luxury streetwear crafted for the relentless.' Visual: Cinematic rainy London street in 4K with dark moody lighting, showing thick cobrax poppers and 480 GSM French Terry fabric structure. VO: 'Heavyweight custom vintage wash. Hand-distressed hardware. The Owners Club collection.' Text: '480 GSM Luxury. Hand-Crafted.'</t>
        </is>
      </c>
      <c r="I56" s="7" t="inlineStr">
        <is>
          <t>Send Creative Director a 4K dark cinematic mockup: 'Your app promo is too transactional. This cinematic luxury teaser builds high-ticket brand equity.'</t>
        </is>
      </c>
    </row>
    <row r="57" ht="38" customHeight="1">
      <c r="A57" s="3" t="inlineStr">
        <is>
          <t>AUDIT-055</t>
        </is>
      </c>
      <c r="B57" s="3" t="inlineStr">
        <is>
          <t>YoungLA (Campaign #3) — Immortal Joggers &amp; Oversized Pump Covers — Variant 3</t>
        </is>
      </c>
      <c r="C57" s="4" t="inlineStr">
        <is>
          <t>Fitness &amp; Lifestyle Streetwear</t>
        </is>
      </c>
      <c r="D57" s="5">
        <f>HYPERLINK("https://www.facebook.com/ads/library/?active_status=all&amp;ad_type=all&amp;country=ALL&amp;is_targeted_country=false&amp;media_type=all&amp;search_type=page&amp;view_all_page_id=1099144696833651", "👉 Open Live Meta Ads")</f>
        <v/>
      </c>
      <c r="E57" s="5">
        <f>HYPERLINK("https://youngla.com", "🌐 Visit Website")</f>
        <v/>
      </c>
      <c r="F57" s="5">
        <f>HYPERLINK("https://instagram.com/youngla", "📸 Open Instagram")</f>
        <v/>
      </c>
      <c r="G57" s="4" t="inlineStr">
        <is>
          <t>Rapid-cut athlete gym poses without clear product pricing, fit specs, or call to action, leading to drop-offs before the website click.</t>
        </is>
      </c>
      <c r="H57" s="4" t="inlineStr">
        <is>
          <t>Hook: 'The pump cover that doesn't lose its shape.' Visual: Dynamic gym lighting transition: athlete taking off hoodie to reveal perfectly structured oversized boxy tee with high neck ribbing. VO: 'Heavyweight cotton drop. Engineered for the pump. Limited stock drop.' Text: 'Drop Live Now. Sells Out Fast.'</t>
        </is>
      </c>
      <c r="I57" s="4" t="inlineStr">
        <is>
          <t>Pitch Media Team: 'Here is an urgency-focused countdown ad template designed specifically for drop sell-outs on Instagram Stories.'</t>
        </is>
      </c>
    </row>
    <row r="58" ht="38" customHeight="1">
      <c r="A58" s="6" t="inlineStr">
        <is>
          <t>AUDIT-056</t>
        </is>
      </c>
      <c r="B58" s="6" t="inlineStr">
        <is>
          <t>The Ridge (Campaign #3) — The Ridge Carbon Fiber RFID Wallet — Variant 3</t>
        </is>
      </c>
      <c r="C58" s="7" t="inlineStr">
        <is>
          <t>Everyday Carry &amp; Tech Accessories</t>
        </is>
      </c>
      <c r="D58" s="8">
        <f>HYPERLINK("https://www.facebook.com/ads/library/?active_status=all&amp;ad_type=all&amp;country=US&amp;is_targeted_country=false&amp;media_type=all&amp;search_type=page&amp;view_all_page_id=176366735873065", "👉 Open Live Meta Ads")</f>
        <v/>
      </c>
      <c r="E58" s="8">
        <f>HYPERLINK("https://ridge.com", "🌐 Visit Website")</f>
        <v/>
      </c>
      <c r="F58" s="8">
        <f>HYPERLINK("https://instagram.com/weareridge", "📸 Open Instagram")</f>
        <v/>
      </c>
      <c r="G58" s="7" t="inlineStr">
        <is>
          <t>Over-saturated comparison ads of giant leather wallets that audiences have seen for 6 years straight. Needs modern EDC lifestyle angle.</t>
        </is>
      </c>
      <c r="H58" s="7" t="inlineStr">
        <is>
          <t>Hook: 'Why are you still carrying a 2-inch leather brick in your pocket?' Visual: Giant fat leather wallet sliced cleanly in half in 3D, revealing sleek matte carbon fiber Ridge plate holding 12 cards with push-card fan. VO: 'Aerospace-grade titanium. RFID blocking. Guaranteed for life.' Text: 'Holds 12 Cards. Lifetime Warranty.'</t>
        </is>
      </c>
      <c r="I58" s="7" t="inlineStr">
        <is>
          <t>Send Head of Growth a 3D carbon fiber render: 'We evolved your classic brick wallet comparison into a sleek 2026 EDC aesthetic.'</t>
        </is>
      </c>
    </row>
    <row r="59" ht="38" customHeight="1">
      <c r="A59" s="3" t="inlineStr">
        <is>
          <t>AUDIT-057</t>
        </is>
      </c>
      <c r="B59" s="3" t="inlineStr">
        <is>
          <t>WHOOP (Campaign #3) — WHOOP 4.0 Health &amp; Fitness Tracker — Variant 3</t>
        </is>
      </c>
      <c r="C59" s="4" t="inlineStr">
        <is>
          <t>Wearable Tech &amp; Biometrics</t>
        </is>
      </c>
      <c r="D59" s="5">
        <f>HYPERLINK("https://www.facebook.com/ads/library/?active_status=all&amp;ad_type=all&amp;country=ALL&amp;is_targeted_country=false&amp;media_type=all&amp;search_type=page&amp;view_all_page_id=314298918730028", "👉 Open Live Meta Ads")</f>
        <v/>
      </c>
      <c r="E59" s="5">
        <f>HYPERLINK("https://whoop.com", "🌐 Visit Website")</f>
        <v/>
      </c>
      <c r="F59" s="5">
        <f>HYPERLINK("https://instagram.com/whoop", "📸 Open Instagram")</f>
        <v/>
      </c>
      <c r="G59" s="4" t="inlineStr">
        <is>
          <t>Dense biometric data dashboards with tiny font percentages that look intimidating rather than motivating for casual health seekers.</t>
        </is>
      </c>
      <c r="H59" s="4" t="inlineStr">
        <is>
          <t>Hook: 'You woke up with an 18% recovery score. Here is why.' Visual: Red glowing heart-rate strain animation on phone screen connecting to sleek screenless wristband. VO: 'Track your sleep, strain, and recovery 24/7 without a distracting screen.' Text: 'Unlock Your Body's Data. Free Trial.'</t>
        </is>
      </c>
      <c r="I59" s="4" t="inlineStr">
        <is>
          <t>Pitch Creative Lead: 'Your data graphics are too complex for cold viewers. This 3-second strain recovery hook simplifies the value proposition instantly.'</t>
        </is>
      </c>
    </row>
    <row r="60" ht="38" customHeight="1">
      <c r="A60" s="6" t="inlineStr">
        <is>
          <t>AUDIT-058</t>
        </is>
      </c>
      <c r="B60" s="6" t="inlineStr">
        <is>
          <t>Anker (Campaign #3) — Anker Prime 20,000mAh 200W Power Bank — Variant 3</t>
        </is>
      </c>
      <c r="C60" s="7" t="inlineStr">
        <is>
          <t>Consumer Tech &amp; Charging</t>
        </is>
      </c>
      <c r="D60" s="8">
        <f>HYPERLINK("https://www.facebook.com/ads/library/?active_status=active&amp;ad_type=all&amp;country=ALL&amp;view_all_page_id=1767876273230903&amp;search_type=page&amp;media_type=all", "👉 Open Live Meta Ads")</f>
        <v/>
      </c>
      <c r="E60" s="8">
        <f>HYPERLINK("https://anker.com", "🌐 Visit Website")</f>
        <v/>
      </c>
      <c r="F60" s="8">
        <f>HYPERLINK("https://instagram.com/anker_official", "📸 Open Instagram")</f>
        <v/>
      </c>
      <c r="G60" s="7" t="inlineStr">
        <is>
          <t>Spec-heavy corporate tech renders listing wattage numbers without showing the emotional relief of charging a dead laptop on an airplane.</t>
        </is>
      </c>
      <c r="H60" s="7" t="inlineStr">
        <is>
          <t>Hook: 'Your laptop battery is at 3% on a 6-hour flight.' Visual: Flashing red battery icon on MacBook screen instantly jumping to lightning-fast 200W charging from a sleek metallic pocket brick. VO: '200W total output. Fast-charge 2 laptops at the same time.' Text: '200W Fast Charge. Airline Approved.'</t>
        </is>
      </c>
      <c r="I60" s="7" t="inlineStr">
        <is>
          <t>Send VP of E-Commerce a high-voltage motion teaser: 'We turned your technical wattage specs into an emotional travel problem-solver ad.'</t>
        </is>
      </c>
    </row>
    <row r="61" ht="38" customHeight="1">
      <c r="A61" s="3" t="inlineStr">
        <is>
          <t>AUDIT-059</t>
        </is>
      </c>
      <c r="B61" s="3" t="inlineStr">
        <is>
          <t>Keychron (Campaign #3) — Keychron Q Pro Wireless Custom Keyboard — Variant 3</t>
        </is>
      </c>
      <c r="C61" s="4" t="inlineStr">
        <is>
          <t>Mechanical Keyboards &amp; Productivity</t>
        </is>
      </c>
      <c r="D61" s="5">
        <f>HYPERLINK("https://www.facebook.com/ads/library/?active_status=active&amp;ad_type=all&amp;country=ALL&amp;view_all_page_id=491139594088747&amp;search_type=page&amp;media_type=all", "👉 Open Live Meta Ads")</f>
        <v/>
      </c>
      <c r="E61" s="5">
        <f>HYPERLINK("https://keychron.com", "🌐 Visit Website")</f>
        <v/>
      </c>
      <c r="F61" s="5">
        <f>HYPERLINK("https://instagram.com/keychron", "📸 Open Instagram")</f>
        <v/>
      </c>
      <c r="G61" s="4" t="inlineStr">
        <is>
          <t>Static top-down photos of keyboards with zero audio. The #1 selling point of mechanical keyboards (typing sound and acoustic feel) is completely absent.</t>
        </is>
      </c>
      <c r="H61" s="4" t="inlineStr">
        <is>
          <t>Hook: 'Listen to the most satisfying sound in the world.' Visual: Macro 4K slow-mo camera gliding over CNC aluminum chassis as custom lubed switches clack with crisp binaural ASMR sound. VO: 'Full aluminum body. Custom hot-swappable switches. Wireless productivity bliss.' Text: '100% CNC Aluminum. Satisfying Sound.'</t>
        </is>
      </c>
      <c r="I61" s="4" t="inlineStr">
        <is>
          <t>Pitch Marketing Team: 'Your ads are muted! Mechanical keyboards sell on acoustic ASMR. Here is a 10-second sound-first video ad concept.'</t>
        </is>
      </c>
    </row>
    <row r="62" ht="38" customHeight="1">
      <c r="A62" s="6" t="inlineStr">
        <is>
          <t>AUDIT-060</t>
        </is>
      </c>
      <c r="B62" s="6" t="inlineStr">
        <is>
          <t>Oura (Campaign #3) — Oura Ring Gen 3 (Titanium / Stealth) — Variant 3</t>
        </is>
      </c>
      <c r="C62" s="7" t="inlineStr">
        <is>
          <t>Smart Rings &amp; Biometrics</t>
        </is>
      </c>
      <c r="D62" s="8">
        <f>HYPERLINK("https://www.facebook.com/ads/library/?active_status=all&amp;ad_type=all&amp;country=ALL&amp;q=Oura%20Ring", "👉 Open Live Meta Ads")</f>
        <v/>
      </c>
      <c r="E62" s="8">
        <f>HYPERLINK("https://ouraring.com", "🌐 Visit Website")</f>
        <v/>
      </c>
      <c r="F62" s="8">
        <f>HYPERLINK("https://instagram.com/ouraring", "📸 Open Instagram")</f>
        <v/>
      </c>
      <c r="G62" s="7" t="inlineStr">
        <is>
          <t>Subtle jewelry photos that look like standard wedding bands. Fails to visually demonstrate the medical-grade infrared sensor intelligence packed inside.</t>
        </is>
      </c>
      <c r="H62" s="7" t="inlineStr">
        <is>
          <t>Hook: 'Smartwatches are ugly. This ring has 10x the biometric accuracy.' Visual: 3D exploded view of titanium outer shell revealing glowing red and green infrared pulse sensors inside the ring band. VO: 'Titanium durability. 7-day battery life. The most accurate sleep tracker on Earth.' Text: 'Titanium Smart Ring. 7-Day Battery.'</t>
        </is>
      </c>
      <c r="I62" s="7" t="inlineStr">
        <is>
          <t>Pitch Growth Lead: 'Here is a 3D deconstruction hook that positions Oura directly against ugly smartwatches.'</t>
        </is>
      </c>
    </row>
    <row r="63" ht="38" customHeight="1">
      <c r="A63" s="3" t="inlineStr">
        <is>
          <t>AUDIT-061</t>
        </is>
      </c>
      <c r="B63" s="3" t="inlineStr">
        <is>
          <t>AG1 (Athletic Greens) (Campaign #4) — Daily Green Superfood Powder (AG1 Next Gen) — Variant 4</t>
        </is>
      </c>
      <c r="C63" s="4" t="inlineStr">
        <is>
          <t>Supplements &amp; Wellness</t>
        </is>
      </c>
      <c r="D63" s="5">
        <f>HYPERLINK("https://www.facebook.com/ads/library/?active_status=all&amp;ad_type=all&amp;country=ALL&amp;view_all_page_id=183869772601&amp;search_type=page&amp;media_type=all", "👉 Open Live Meta Ads")</f>
        <v/>
      </c>
      <c r="E63" s="5">
        <f>HYPERLINK("https://google.com", "🌐 Visit Website")</f>
        <v/>
      </c>
      <c r="F63" s="5">
        <f>HYPERLINK("https://instagram.com", "📸 Open Instagram")</f>
        <v/>
      </c>
      <c r="G63" s="4" t="inlineStr">
        <is>
          <t>Over-reliance on talking-head podcast clips and static green pouch renders. 0-3s hook suffers from severe creative fatigue among cold audiences who ignore static shakers.</t>
        </is>
      </c>
      <c r="H63" s="4" t="inlineStr">
        <is>
          <t>Hook: 'Stop drinking oxidized pond water.' Visual: 4K macro camera diving inside an icy glass as AG1 emerald powder explodes into micro-vortex with citrus lime splash. VO: '75 vitamins packed into 1 scoop that actually tastes crisp.' Text: '75 Nutrients. 0 Synthetic Fillers.'</t>
        </is>
      </c>
      <c r="I63" s="4" t="inlineStr">
        <is>
          <t>DM CMO with a 3-second kinetic liquid simulation hook: 'Your podcast ads are great for retargeting, but cold traffic is scrolling past the static shaker. We rebuilt your first 3s for a 40% CTR boost.'</t>
        </is>
      </c>
    </row>
    <row r="64" ht="38" customHeight="1">
      <c r="A64" s="6" t="inlineStr">
        <is>
          <t>AUDIT-062</t>
        </is>
      </c>
      <c r="B64" s="6" t="inlineStr">
        <is>
          <t>MUD\WTR (Campaign #4) — :rise Cacao Functional Mushroom Coffee — Variant 4</t>
        </is>
      </c>
      <c r="C64" s="7" t="inlineStr">
        <is>
          <t>Supplements &amp; Coffee Alternatives</t>
        </is>
      </c>
      <c r="D64" s="8">
        <f>HYPERLINK("https://www.facebook.com/ads/library/?active_status=all&amp;ad_type=all&amp;country=ALL&amp;view_all_page_id=172538983355501&amp;search_type=page&amp;media_type=all", "👉 Open Live Meta Ads")</f>
        <v/>
      </c>
      <c r="E64" s="8">
        <f>HYPERLINK("https://mudwtr.com", "🌐 Visit Website")</f>
        <v/>
      </c>
      <c r="F64" s="8">
        <f>HYPERLINK("https://instagram.com/mudwtr", "📸 Open Instagram")</f>
        <v/>
      </c>
      <c r="G64" s="7" t="inlineStr">
        <is>
          <t>Repetitive earthy brown mud aesthetic with handwritten typography. Fails to visually convey the immediate neuro-focus difference compared to coffee jitters.</t>
        </is>
      </c>
      <c r="H64" s="7" t="inlineStr">
        <is>
          <t>Hook: 'Coffee is borrowing energy from your tomorrow.' Visual: Jittery red heart-rate waveform snapping into smooth golden Lion's Mane neural beam as spiced cacao pours into mug in 120fps slow-mo. VO: '1/7th the caffeine of coffee. 100% sustained flow state.' Text: 'Zero Jitters. Zero Crash.'</t>
        </is>
      </c>
      <c r="I64" s="7" t="inlineStr">
        <is>
          <t>Loom video analyzing their top 3 active ads: 'Your mud colorway blends into the feed. This high-contrast gold-on-black split-screen stops caffeine crashers instantly.'</t>
        </is>
      </c>
    </row>
    <row r="65" ht="38" customHeight="1">
      <c r="A65" s="3" t="inlineStr">
        <is>
          <t>AUDIT-063</t>
        </is>
      </c>
      <c r="B65" s="3" t="inlineStr">
        <is>
          <t>Huel (Campaign #4) — Huel Black Edition / Daily Greens — Variant 4</t>
        </is>
      </c>
      <c r="C65" s="4" t="inlineStr">
        <is>
          <t>Supplements &amp; Meal Replacement</t>
        </is>
      </c>
      <c r="D65" s="5">
        <f>HYPERLINK("https://www.facebook.com/ads/library/?active_status=all&amp;ad_type=all&amp;country=GB&amp;is_targeted_country=false&amp;media_type=all&amp;search_type=page&amp;view_all_page_id=282592881929497", "👉 Open Live Meta Ads")</f>
        <v/>
      </c>
      <c r="E65" s="5">
        <f>HYPERLINK("https://huel.com", "🌐 Visit Website")</f>
        <v/>
      </c>
      <c r="F65" s="5">
        <f>HYPERLINK("https://instagram.com/huel", "📸 Open Instagram")</f>
        <v/>
      </c>
      <c r="G65" s="4" t="inlineStr">
        <is>
          <t>Technical nutritional chart overlays with heavy text and drab grey shaker graphics that look medicinal and unappetizing.</t>
        </is>
      </c>
      <c r="H65" s="4" t="inlineStr">
        <is>
          <t>Hook: 'You just spent $24 on a soggy lunch salad.' Visual: Fast-paced receipt burning transition into a sleek matte black bottle being shaken with creamy salted caramel chocolate swirl. VO: '40g protein. 27 essential vitamins. Ready in 15 seconds for $2.80.' Text: '$2.80 / Meal. Complete Nutrition.'</t>
        </is>
      </c>
      <c r="I65" s="4" t="inlineStr">
        <is>
          <t>Pitch their Growth Lead on LinkedIn: 'Your £2.80 price-per-meal is your #1 selling point, but it's buried at the end. Here is a 3-second hook putting price-comparison first.'</t>
        </is>
      </c>
    </row>
    <row r="66" ht="38" customHeight="1">
      <c r="A66" s="6" t="inlineStr">
        <is>
          <t>AUDIT-064</t>
        </is>
      </c>
      <c r="B66" s="6" t="inlineStr">
        <is>
          <t>Magic Spoon Cereal (Campaign #4) — High-Protein Low-Carb Cereal (Fruity / Cocoa) — Variant 4</t>
        </is>
      </c>
      <c r="C66" s="7" t="inlineStr">
        <is>
          <t>Food &amp; Functional Nutrition</t>
        </is>
      </c>
      <c r="D66" s="8">
        <f>HYPERLINK("https://www.facebook.com/ads/library/?active_status=all&amp;ad_type=all&amp;country=ALL&amp;view_all_page_id=1978160732305312&amp;search_type=page&amp;media_type=all", "👉 Open Live Meta Ads")</f>
        <v/>
      </c>
      <c r="E66" s="8">
        <f>HYPERLINK("https://magicspoon.com", "🌐 Visit Website")</f>
        <v/>
      </c>
      <c r="F66" s="8">
        <f>HYPERLINK("https://instagram.com/magicspooncereal", "📸 Open Instagram")</f>
        <v/>
      </c>
      <c r="G66" s="7" t="inlineStr">
        <is>
          <t>Saturated retro cartoon vector graphics have become ad-blind. Audiences mistake them for kids' cereal rather than high-protein macro food for athletes and dieters.</t>
        </is>
      </c>
      <c r="H66" s="7" t="inlineStr">
        <is>
          <t>Hook: 'Childhood cereal had 14g of sugar. This has 14g of protein.' Visual: Retro cereal box dissolving in 3D into an exploded view of macro protein crisp rings splashing into ice-cold milk. VO: 'Zero sugar. 14g protein. Exactly like Saturday morning cartoons.' Text: '14g Protein. 0g Sugar. 4g Net Carbs.'</t>
        </is>
      </c>
      <c r="I66" s="7" t="inlineStr">
        <is>
          <t>Send Founder a 15s remake showing real milk crunch ASMR: 'Your illustrations are pretty, but real macro milk-pour crunch converts 2.5x higher on Instagram.'</t>
        </is>
      </c>
    </row>
    <row r="67" ht="38" customHeight="1">
      <c r="A67" s="3" t="inlineStr">
        <is>
          <t>AUDIT-065</t>
        </is>
      </c>
      <c r="B67" s="3" t="inlineStr">
        <is>
          <t>Liquid Death (Campaign #4) — Canned Mountain Water &amp; Death Dust Electrolytes — Variant 4</t>
        </is>
      </c>
      <c r="C67" s="4" t="inlineStr">
        <is>
          <t>Beverages &amp; Electrolytes</t>
        </is>
      </c>
      <c r="D67" s="5">
        <f>HYPERLINK("https://www.facebook.com/ads/library/?active_status=all&amp;ad_type=all&amp;country=ALL&amp;view_all_page_id=2012750189007245&amp;sort_data[direction]=desc&amp;sort_data[mode]=relevancy_monthly_grouped&amp;search_type=page&amp;media_type=all", "👉 Open Live Meta Ads")</f>
        <v/>
      </c>
      <c r="E67" s="5">
        <f>HYPERLINK("https://liquiddeath.com", "🌐 Visit Website")</f>
        <v/>
      </c>
      <c r="F67" s="5">
        <f>HYPERLINK("https://instagram.com/liquiddeath", "📸 Open Instagram")</f>
        <v/>
      </c>
      <c r="G67" s="4" t="inlineStr">
        <is>
          <t>Humor stunts often overpower the product conversion message; users laugh but don't click to buy the electrolyte packets (Death Dust).</t>
        </is>
      </c>
      <c r="H67" s="4" t="inlineStr">
        <is>
          <t>Hook: 'Murder your thirst... and your hangover.' Visual: 3D skull ripping open a neon Death Dust packet with lightning sparks shooting into an icy cold tallboy can. VO: '5x electrolytes. Real cane sugar. Kill dehydration before it kills you.' Text: 'Murder Your Hangover.'</t>
        </is>
      </c>
      <c r="I67" s="4" t="inlineStr">
        <is>
          <t>Cold DM their Head of Digital: 'Love the comedic ads, but Death Dust needs a high-intent performance creative. Here is a high-octane 3D can-rip concept.'</t>
        </is>
      </c>
    </row>
    <row r="68" ht="38" customHeight="1">
      <c r="A68" s="6" t="inlineStr">
        <is>
          <t>AUDIT-066</t>
        </is>
      </c>
      <c r="B68" s="6" t="inlineStr">
        <is>
          <t>Bloom Nutrition (Campaign #4) — Greens &amp; Superfoods Powder (Mango / Berry) — Variant 4</t>
        </is>
      </c>
      <c r="C68" s="7" t="inlineStr">
        <is>
          <t>Supplements &amp; Gut Health</t>
        </is>
      </c>
      <c r="D68" s="8">
        <f>HYPERLINK("https://www.facebook.com/ads/library/?active_status=active&amp;ad_type=all&amp;country=US&amp;is_targeted_country=false&amp;media_type=all&amp;search_type=page&amp;view_all_page_id=655412221523654", "👉 Open Live Meta Ads")</f>
        <v/>
      </c>
      <c r="E68" s="8">
        <f>HYPERLINK("https://bloomnu.com", "🌐 Visit Website")</f>
        <v/>
      </c>
      <c r="F68" s="8">
        <f>HYPERLINK("https://instagram.com/bloomnutrition", "📸 Open Instagram")</f>
        <v/>
      </c>
      <c r="G68" s="7" t="inlineStr">
        <is>
          <t>Over-reliance on repetitive TikTok-style selfie videos in identical kitchen setups. Viewer fatigue is causing high CPA on Meta cold campaigns.</t>
        </is>
      </c>
      <c r="H68" s="7" t="inlineStr">
        <is>
          <t>Hook: 'Why your stomach is bloated 20 minutes after eating.' Visual: Dynamic 3D gut microbiome animation calming down instantly with a refreshing iced mango greens pour. VO: 'Sooth digestion and banish bloating in 1 single daily glass.' Text: 'Debloat in 14 Days.'</t>
        </is>
      </c>
      <c r="I68" s="7" t="inlineStr">
        <is>
          <t>Pitch their Media Buyer: 'Your UGC is saturated. Here is a 3D kinetic anatomy angle to capture the 25-45 female demographic who ignore selfie videos.'</t>
        </is>
      </c>
    </row>
    <row r="69" ht="38" customHeight="1">
      <c r="A69" s="3" t="inlineStr">
        <is>
          <t>AUDIT-067</t>
        </is>
      </c>
      <c r="B69" s="3" t="inlineStr">
        <is>
          <t>Dr. Squatch (Campaign #4) — Natural Cold-Process Bar Soap (Pine Tar / Wood Barrel Bourbon) — Variant 4</t>
        </is>
      </c>
      <c r="C69" s="4" t="inlineStr">
        <is>
          <t>Men's Grooming &amp; Bodycare</t>
        </is>
      </c>
      <c r="D69" s="5">
        <f>HYPERLINK("https://www.facebook.com/ads/library/?active_status=all&amp;ad_type=all&amp;country=US&amp;view_all_page_id=118075261668462&amp;sort_data[direction]=desc&amp;sort_data[mode]=relevancy_monthly_grouped&amp;search_type=page&amp;media_type=all", "👉 Open Live Meta Ads")</f>
        <v/>
      </c>
      <c r="E69" s="5">
        <f>HYPERLINK("https://drsquatch.com", "🌐 Visit Website")</f>
        <v/>
      </c>
      <c r="F69" s="5">
        <f>HYPERLINK("https://instagram.com/drsquatch", "📸 Open Instagram")</f>
        <v/>
      </c>
      <c r="G69" s="4" t="inlineStr">
        <is>
          <t>Long 2-minute sketch videos are losing viewers in the first 4 seconds on Instagram Mobile Feed. Need punchy 10-15s product-first kinetic ads.</t>
        </is>
      </c>
      <c r="H69" s="4" t="inlineStr">
        <is>
          <t>Hook: 'You're showering with synthetic chemical detergents.' Visual: Commercial body wash bottle cracking in half, replaced by a rugged wood-textured Pine Tar soap bar foaming rich natural lather in a waterfall. VO: 'Ditch the chemicals. Real cold-process pine tar soap.' Text: '100% Natural. Zero Synthetic Detergents.'</t>
        </is>
      </c>
      <c r="I69" s="4" t="inlineStr">
        <is>
          <t>Pitch CMO: 'Your long comedy sketches are getting skipped on mobile stories. We cut your concept into a 12s high-retention direct-response ad.'</t>
        </is>
      </c>
    </row>
    <row r="70" ht="38" customHeight="1">
      <c r="A70" s="6" t="inlineStr">
        <is>
          <t>AUDIT-068</t>
        </is>
      </c>
      <c r="B70" s="6" t="inlineStr">
        <is>
          <t>Manscaped (Campaign #4) — The Lawn Mower 5.0 Ultra Trimmer — Variant 4</t>
        </is>
      </c>
      <c r="C70" s="7" t="inlineStr">
        <is>
          <t>Men's Grooming &amp; Tech</t>
        </is>
      </c>
      <c r="D70" s="8">
        <f>HYPERLINK("https://www.facebook.com/ads/library/?active_status=all&amp;ad_type=all&amp;country=ALL&amp;view_all_page_id=1545577295743703&amp;search_type=page&amp;media_type=all", "👉 Open Live Meta Ads")</f>
        <v/>
      </c>
      <c r="E70" s="8">
        <f>HYPERLINK("https://manscaped.com", "🌐 Visit Website")</f>
        <v/>
      </c>
      <c r="F70" s="8">
        <f>HYPERLINK("https://instagram.com/manscaped", "📸 Open Instagram")</f>
        <v/>
      </c>
      <c r="G70" s="7" t="inlineStr">
        <is>
          <t>Repetitive product renders spinning against blue studio lighting. Fails to emphasize the waterproof SkinSafe ceramic blade technology dynamically.</t>
        </is>
      </c>
      <c r="H70" s="7" t="inlineStr">
        <is>
          <t>Hook: 'Your trimmer blade from 2022 is a bacteria breeding ground.' Visual: Macro ceramic blade glide over a delicate balloon without popping, submerged in rushing water with neon LED headlights. VO: 'Dual SkinSafe heads. 100% waterproof. The closest, safest trim ever built.' Text: 'SkinSafe Ceramic Tech. 100% Waterproof.'</t>
        </is>
      </c>
      <c r="I70" s="7" t="inlineStr">
        <is>
          <t>Send Creative Director a 3D ceramic blade test clip: 'Here is how to visually prove your SkinSafe technology in the first 2 seconds.'</t>
        </is>
      </c>
    </row>
    <row r="71" ht="38" customHeight="1">
      <c r="A71" s="3" t="inlineStr">
        <is>
          <t>AUDIT-069</t>
        </is>
      </c>
      <c r="B71" s="3" t="inlineStr">
        <is>
          <t>Curology (Campaign #4) — Custom Prescription Acne Cream &amp; Cleanser — Variant 4</t>
        </is>
      </c>
      <c r="C71" s="4" t="inlineStr">
        <is>
          <t>Skincare &amp; Telehealth</t>
        </is>
      </c>
      <c r="D71" s="5">
        <f>HYPERLINK("https://www.facebook.com/ads/library/?active_status=all&amp;ad_type=all&amp;country=US&amp;view_all_page_id=246043868861319&amp;sort_data[direction]=desc&amp;sort_data[mode]=relevancy_monthly_grouped&amp;search_type=page&amp;media_type=all", "👉 Open Live Meta Ads")</f>
        <v/>
      </c>
      <c r="E71" s="5">
        <f>HYPERLINK("https://curology.com", "🌐 Visit Website")</f>
        <v/>
      </c>
      <c r="F71" s="5">
        <f>HYPERLINK("https://instagram.com/curology", "📸 Open Instagram")</f>
        <v/>
      </c>
      <c r="G71" s="4" t="inlineStr">
        <is>
          <t>Static bottle photos and generic pharmacy text. Fails to show the dramatic before-and-after skin transformation process in a clean, believable medical way.</t>
        </is>
      </c>
      <c r="H71" s="4" t="inlineStr">
        <is>
          <t>Hook: 'Drugstore acne face wash is making your breakouts worse.' Visual: Time-lapse 30-day microscopic skin scan showing inflammation fading and barrier rebuilding under a custom bottle formulation. VO: 'Dermatologist-prescribed ingredients custom-mixed for your exact skin.' Text: 'Prescription Formula. Delivered to Your Door.'</t>
        </is>
      </c>
      <c r="I71" s="4" t="inlineStr">
        <is>
          <t>Pitch Growth Team: 'We designed a 3D skin-scan visual hook that outperforms generic selfie testimonials by 35% on Meta.'</t>
        </is>
      </c>
    </row>
    <row r="72" ht="38" customHeight="1">
      <c r="A72" s="6" t="inlineStr">
        <is>
          <t>AUDIT-070</t>
        </is>
      </c>
      <c r="B72" s="6" t="inlineStr">
        <is>
          <t>Glossier (Campaign #4) — Boy Brow &amp; Cloud Paint Gel-Cream Blush — Variant 4</t>
        </is>
      </c>
      <c r="C72" s="7" t="inlineStr">
        <is>
          <t>Beauty &amp; Cosmetics</t>
        </is>
      </c>
      <c r="D72" s="8">
        <f>HYPERLINK("https://www.facebook.com/ads/library/?active_status=active&amp;ad_type=all&amp;country=ALL&amp;view_all_page_id=1392545734334646&amp;search_type=page&amp;media_type=all", "👉 Open Live Meta Ads")</f>
        <v/>
      </c>
      <c r="E72" s="8">
        <f>HYPERLINK("https://glossier.com", "🌐 Visit Website")</f>
        <v/>
      </c>
      <c r="F72" s="8">
        <f>HYPERLINK("https://instagram.com/glossier", "📸 Open Instagram")</f>
        <v/>
      </c>
      <c r="G72" s="7" t="inlineStr">
        <is>
          <t>Minimalist muted aesthetic often looks too subtle in fast-scrolling Instagram feeds, causing low click-through rates on non-brand audiences.</t>
        </is>
      </c>
      <c r="H72" s="7" t="inlineStr">
        <is>
          <t>Hook: 'The 2-minute 'no-makeup' makeup routine.' Visual: High-speed aesthetic macro swatch of Cloud Paint cream blending seamlessly into dewy glowing skin with satisfying creamy texture. VO: 'Buildable, pillowy gel-cream that melts into your cheeks in seconds.' Text: 'Effortless Glow. 2 Minutes Flat.'</t>
        </is>
      </c>
      <c r="I72" s="7" t="inlineStr">
        <is>
          <t>Reach out to Social Lead: 'Your brand aesthetic is iconic, but cold feeds need a punchy texture-first hook to stop scroll dropoff.'</t>
        </is>
      </c>
    </row>
    <row r="73" ht="38" customHeight="1">
      <c r="A73" s="3" t="inlineStr">
        <is>
          <t>AUDIT-071</t>
        </is>
      </c>
      <c r="B73" s="3" t="inlineStr">
        <is>
          <t>True Classic (Campaign #4) — Fitted Premium Crewneck T-Shirts — Variant 4</t>
        </is>
      </c>
      <c r="C73" s="4" t="inlineStr">
        <is>
          <t>Men's Apparel &amp; Basics</t>
        </is>
      </c>
      <c r="D73" s="5">
        <f>HYPERLINK("https://www.facebook.com/ads/library/?active_status=all&amp;ad_type=all&amp;country=US&amp;view_all_page_id=661315797647911&amp;search_type=page&amp;media_type=all", "👉 Open Live Meta Ads")</f>
        <v/>
      </c>
      <c r="E73" s="5">
        <f>HYPERLINK("https://trueclassictees.com", "🌐 Visit Website")</f>
        <v/>
      </c>
      <c r="F73" s="5">
        <f>HYPERLINK("https://instagram.com/trueclassic", "📸 Open Instagram")</f>
        <v/>
      </c>
      <c r="G73" s="4" t="inlineStr">
        <is>
          <t>Heavy reliance on identical 'dad belly vs fitted tee' skit ads. The market has seen this angle hundreds of times, causing creative ad fatigue.</t>
        </is>
      </c>
      <c r="H73" s="4" t="inlineStr">
        <is>
          <t>Hook: 'Why 90% of men's tees look sloppy after 2 washes.' Visual: Macro cotton fiber comparison: boxy stretched-out neck vs. True Classic's fitted arm and chest taper in sleek Cyber Void black. VO: 'Fitted where you want it. Room where you need it. Stays sharp wash after wash.' Text: 'The Fit Formula. Never Shrinks.'</t>
        </is>
      </c>
      <c r="I73" s="4" t="inlineStr">
        <is>
          <t>Pitch Founder/CMO: 'Your dad-belly angle won the first $100M. Here is the premium fabric-performance angle to win the next $100M without comedic fatigue.'</t>
        </is>
      </c>
    </row>
    <row r="74" ht="38" customHeight="1">
      <c r="A74" s="6" t="inlineStr">
        <is>
          <t>AUDIT-072</t>
        </is>
      </c>
      <c r="B74" s="6" t="inlineStr">
        <is>
          <t>Gymshark (Campaign #4) — Seamless Leggings &amp; Power Stringers — Variant 4</t>
        </is>
      </c>
      <c r="C74" s="7" t="inlineStr">
        <is>
          <t>Athletic Wear &amp; Gym Apparel</t>
        </is>
      </c>
      <c r="D74" s="8">
        <f>HYPERLINK("https://www.facebook.com/ads/library/?active_status=all&amp;ad_type=all&amp;country=ALL&amp;view_all_page_id=129669023798560&amp;search_type=page&amp;media_type=all", "👉 Open Live Meta Ads")</f>
        <v/>
      </c>
      <c r="E74" s="8">
        <f>HYPERLINK("https://gymshark.com", "🌐 Visit Website")</f>
        <v/>
      </c>
      <c r="F74" s="8">
        <f>HYPERLINK("https://instagram.com/gymshark", "📸 Open Instagram")</f>
        <v/>
      </c>
      <c r="G74" s="7" t="inlineStr">
        <is>
          <t>Generic gym workout B-roll that looks like fitness influencer posts rather than high-converting product performance ads.</t>
        </is>
      </c>
      <c r="H74" s="7" t="inlineStr">
        <is>
          <t>Hook: 'Squat-proof tested at 400 lbs.' Visual: Extreme slow-motion barbell squat showing zero fabric stretch distortion and seamless compression contouring. VO: 'Engineered for zero chafing, maximum sweat-wicking, and total squat-proof support.' Text: '100% Squat-Proof. Seamless Stretch.'</t>
        </is>
      </c>
      <c r="I74" s="7" t="inlineStr">
        <is>
          <t>DM Paid Media Team: 'Here is a 3-second squat-proof durability test hook engineered for high conversion on Meta Reels.'</t>
        </is>
      </c>
    </row>
    <row r="75" ht="38" customHeight="1">
      <c r="A75" s="3" t="inlineStr">
        <is>
          <t>AUDIT-073</t>
        </is>
      </c>
      <c r="B75" s="3" t="inlineStr">
        <is>
          <t>Vuori (Campaign #4) — Kore Short &amp; Strato Tech Tee — Variant 4</t>
        </is>
      </c>
      <c r="C75" s="4" t="inlineStr">
        <is>
          <t>Premium Performance Apparel</t>
        </is>
      </c>
      <c r="D75" s="5">
        <f>HYPERLINK("https://www.facebook.com/ads/library/?active_status=all&amp;ad_type=all&amp;country=US&amp;view_all_page_id=126525880500&amp;sort_data[direction]=desc&amp;sort_data[mode]=relevancy_monthly_grouped&amp;search_type=page&amp;media_type=all", "👉 Open Live Meta Ads")</f>
        <v/>
      </c>
      <c r="E75" s="5">
        <f>HYPERLINK("https://vuoriclothing.com", "🌐 Visit Website")</f>
        <v/>
      </c>
      <c r="F75" s="5">
        <f>HYPERLINK("https://instagram.com/vuoriclothing", "📸 Open Instagram")</f>
        <v/>
      </c>
      <c r="G75" s="4" t="inlineStr">
        <is>
          <t>Static beach lifestyle photos with muted text overlay. Fails to demonstrate the signature buttery-soft DreamKnit fabric feel through video.</t>
        </is>
      </c>
      <c r="H75" s="4" t="inlineStr">
        <is>
          <t>Hook: 'The softest shorts you will ever put on your body.' Visual: Fluid slow-motion fabric wave gliding through fingers like liquid silk, snapping into modern athletic city jogger look. VO: 'Built with DreamKnit fabric. 4-way stretch. Looks tailored, feels like clouds.' Text: 'Buttery Soft. Built for Movement.'</t>
        </is>
      </c>
      <c r="I75" s="4" t="inlineStr">
        <is>
          <t>Pitch VP of Marketing: 'Your fabric softness is your #1 review keyword. We built a 3-second tactile visual hook that lets viewers feel the fabric through the screen.'</t>
        </is>
      </c>
    </row>
    <row r="76" ht="38" customHeight="1">
      <c r="A76" s="6" t="inlineStr">
        <is>
          <t>AUDIT-074</t>
        </is>
      </c>
      <c r="B76" s="6" t="inlineStr">
        <is>
          <t>Represent Clothing (Campaign #4) — Owners Club Hoodie &amp; Initial Sneaker — Variant 4</t>
        </is>
      </c>
      <c r="C76" s="7" t="inlineStr">
        <is>
          <t>Luxury Streetwear</t>
        </is>
      </c>
      <c r="D76" s="8">
        <f>HYPERLINK("https://www.facebook.com/ads/library/?active_status=all&amp;ad_type=all&amp;country=ALL&amp;media_type=all&amp;search_type=page&amp;view_all_page_id=104048763008842", "👉 Open Live Meta Ads")</f>
        <v/>
      </c>
      <c r="E76" s="8">
        <f>HYPERLINK("https://representclo.com", "🌐 Visit Website")</f>
        <v/>
      </c>
      <c r="F76" s="8">
        <f>HYPERLINK("https://instagram.com/representclo", "📸 Open Instagram")</f>
        <v/>
      </c>
      <c r="G76" s="7" t="inlineStr">
        <is>
          <t>App-only discount promo banners with flat static product cuts that fail to capture the British luxury streetwear runway aesthetic.</t>
        </is>
      </c>
      <c r="H76" s="7" t="inlineStr">
        <is>
          <t>Hook: 'British luxury streetwear crafted for the relentless.' Visual: Cinematic rainy London street in 4K with dark moody lighting, showing thick cobrax poppers and 480 GSM French Terry fabric structure. VO: 'Heavyweight custom vintage wash. Hand-distressed hardware. The Owners Club collection.' Text: '480 GSM Luxury. Hand-Crafted.'</t>
        </is>
      </c>
      <c r="I76" s="7" t="inlineStr">
        <is>
          <t>Send Creative Director a 4K dark cinematic mockup: 'Your app promo is too transactional. This cinematic luxury teaser builds high-ticket brand equity.'</t>
        </is>
      </c>
    </row>
    <row r="77" ht="38" customHeight="1">
      <c r="A77" s="3" t="inlineStr">
        <is>
          <t>AUDIT-075</t>
        </is>
      </c>
      <c r="B77" s="3" t="inlineStr">
        <is>
          <t>YoungLA (Campaign #4) — Immortal Joggers &amp; Oversized Pump Covers — Variant 4</t>
        </is>
      </c>
      <c r="C77" s="4" t="inlineStr">
        <is>
          <t>Fitness &amp; Lifestyle Streetwear</t>
        </is>
      </c>
      <c r="D77" s="5">
        <f>HYPERLINK("https://www.facebook.com/ads/library/?active_status=all&amp;ad_type=all&amp;country=ALL&amp;is_targeted_country=false&amp;media_type=all&amp;search_type=page&amp;view_all_page_id=1099144696833651", "👉 Open Live Meta Ads")</f>
        <v/>
      </c>
      <c r="E77" s="5">
        <f>HYPERLINK("https://youngla.com", "🌐 Visit Website")</f>
        <v/>
      </c>
      <c r="F77" s="5">
        <f>HYPERLINK("https://instagram.com/youngla", "📸 Open Instagram")</f>
        <v/>
      </c>
      <c r="G77" s="4" t="inlineStr">
        <is>
          <t>Rapid-cut athlete gym poses without clear product pricing, fit specs, or call to action, leading to drop-offs before the website click.</t>
        </is>
      </c>
      <c r="H77" s="4" t="inlineStr">
        <is>
          <t>Hook: 'The pump cover that doesn't lose its shape.' Visual: Dynamic gym lighting transition: athlete taking off hoodie to reveal perfectly structured oversized boxy tee with high neck ribbing. VO: 'Heavyweight cotton drop. Engineered for the pump. Limited stock drop.' Text: 'Drop Live Now. Sells Out Fast.'</t>
        </is>
      </c>
      <c r="I77" s="4" t="inlineStr">
        <is>
          <t>Pitch Media Team: 'Here is an urgency-focused countdown ad template designed specifically for drop sell-outs on Instagram Stories.'</t>
        </is>
      </c>
    </row>
    <row r="78" ht="38" customHeight="1">
      <c r="A78" s="6" t="inlineStr">
        <is>
          <t>AUDIT-076</t>
        </is>
      </c>
      <c r="B78" s="6" t="inlineStr">
        <is>
          <t>The Ridge (Campaign #4) — The Ridge Carbon Fiber RFID Wallet — Variant 4</t>
        </is>
      </c>
      <c r="C78" s="7" t="inlineStr">
        <is>
          <t>Everyday Carry &amp; Tech Accessories</t>
        </is>
      </c>
      <c r="D78" s="8">
        <f>HYPERLINK("https://www.facebook.com/ads/library/?active_status=all&amp;ad_type=all&amp;country=US&amp;is_targeted_country=false&amp;media_type=all&amp;search_type=page&amp;view_all_page_id=176366735873065", "👉 Open Live Meta Ads")</f>
        <v/>
      </c>
      <c r="E78" s="8">
        <f>HYPERLINK("https://ridge.com", "🌐 Visit Website")</f>
        <v/>
      </c>
      <c r="F78" s="8">
        <f>HYPERLINK("https://instagram.com/weareridge", "📸 Open Instagram")</f>
        <v/>
      </c>
      <c r="G78" s="7" t="inlineStr">
        <is>
          <t>Over-saturated comparison ads of giant leather wallets that audiences have seen for 6 years straight. Needs modern EDC lifestyle angle.</t>
        </is>
      </c>
      <c r="H78" s="7" t="inlineStr">
        <is>
          <t>Hook: 'Why are you still carrying a 2-inch leather brick in your pocket?' Visual: Giant fat leather wallet sliced cleanly in half in 3D, revealing sleek matte carbon fiber Ridge plate holding 12 cards with push-card fan. VO: 'Aerospace-grade titanium. RFID blocking. Guaranteed for life.' Text: 'Holds 12 Cards. Lifetime Warranty.'</t>
        </is>
      </c>
      <c r="I78" s="7" t="inlineStr">
        <is>
          <t>Send Head of Growth a 3D carbon fiber render: 'We evolved your classic brick wallet comparison into a sleek 2026 EDC aesthetic.'</t>
        </is>
      </c>
    </row>
    <row r="79" ht="38" customHeight="1">
      <c r="A79" s="3" t="inlineStr">
        <is>
          <t>AUDIT-077</t>
        </is>
      </c>
      <c r="B79" s="3" t="inlineStr">
        <is>
          <t>WHOOP (Campaign #4) — WHOOP 4.0 Health &amp; Fitness Tracker — Variant 4</t>
        </is>
      </c>
      <c r="C79" s="4" t="inlineStr">
        <is>
          <t>Wearable Tech &amp; Biometrics</t>
        </is>
      </c>
      <c r="D79" s="5">
        <f>HYPERLINK("https://www.facebook.com/ads/library/?active_status=all&amp;ad_type=all&amp;country=ALL&amp;is_targeted_country=false&amp;media_type=all&amp;search_type=page&amp;view_all_page_id=314298918730028", "👉 Open Live Meta Ads")</f>
        <v/>
      </c>
      <c r="E79" s="5">
        <f>HYPERLINK("https://whoop.com", "🌐 Visit Website")</f>
        <v/>
      </c>
      <c r="F79" s="5">
        <f>HYPERLINK("https://instagram.com/whoop", "📸 Open Instagram")</f>
        <v/>
      </c>
      <c r="G79" s="4" t="inlineStr">
        <is>
          <t>Dense biometric data dashboards with tiny font percentages that look intimidating rather than motivating for casual health seekers.</t>
        </is>
      </c>
      <c r="H79" s="4" t="inlineStr">
        <is>
          <t>Hook: 'You woke up with an 18% recovery score. Here is why.' Visual: Red glowing heart-rate strain animation on phone screen connecting to sleek screenless wristband. VO: 'Track your sleep, strain, and recovery 24/7 without a distracting screen.' Text: 'Unlock Your Body's Data. Free Trial.'</t>
        </is>
      </c>
      <c r="I79" s="4" t="inlineStr">
        <is>
          <t>Pitch Creative Lead: 'Your data graphics are too complex for cold viewers. This 3-second strain recovery hook simplifies the value proposition instantly.'</t>
        </is>
      </c>
    </row>
    <row r="80" ht="38" customHeight="1">
      <c r="A80" s="6" t="inlineStr">
        <is>
          <t>AUDIT-078</t>
        </is>
      </c>
      <c r="B80" s="6" t="inlineStr">
        <is>
          <t>Anker (Campaign #4) — Anker Prime 20,000mAh 200W Power Bank — Variant 4</t>
        </is>
      </c>
      <c r="C80" s="7" t="inlineStr">
        <is>
          <t>Consumer Tech &amp; Charging</t>
        </is>
      </c>
      <c r="D80" s="8">
        <f>HYPERLINK("https://www.facebook.com/ads/library/?active_status=active&amp;ad_type=all&amp;country=ALL&amp;view_all_page_id=1767876273230903&amp;search_type=page&amp;media_type=all", "👉 Open Live Meta Ads")</f>
        <v/>
      </c>
      <c r="E80" s="8">
        <f>HYPERLINK("https://anker.com", "🌐 Visit Website")</f>
        <v/>
      </c>
      <c r="F80" s="8">
        <f>HYPERLINK("https://instagram.com/anker_official", "📸 Open Instagram")</f>
        <v/>
      </c>
      <c r="G80" s="7" t="inlineStr">
        <is>
          <t>Spec-heavy corporate tech renders listing wattage numbers without showing the emotional relief of charging a dead laptop on an airplane.</t>
        </is>
      </c>
      <c r="H80" s="7" t="inlineStr">
        <is>
          <t>Hook: 'Your laptop battery is at 3% on a 6-hour flight.' Visual: Flashing red battery icon on MacBook screen instantly jumping to lightning-fast 200W charging from a sleek metallic pocket brick. VO: '200W total output. Fast-charge 2 laptops at the same time.' Text: '200W Fast Charge. Airline Approved.'</t>
        </is>
      </c>
      <c r="I80" s="7" t="inlineStr">
        <is>
          <t>Send VP of E-Commerce a high-voltage motion teaser: 'We turned your technical wattage specs into an emotional travel problem-solver ad.'</t>
        </is>
      </c>
    </row>
    <row r="81" ht="38" customHeight="1">
      <c r="A81" s="3" t="inlineStr">
        <is>
          <t>AUDIT-079</t>
        </is>
      </c>
      <c r="B81" s="3" t="inlineStr">
        <is>
          <t>Keychron (Campaign #4) — Keychron Q Pro Wireless Custom Keyboard — Variant 4</t>
        </is>
      </c>
      <c r="C81" s="4" t="inlineStr">
        <is>
          <t>Mechanical Keyboards &amp; Productivity</t>
        </is>
      </c>
      <c r="D81" s="5">
        <f>HYPERLINK("https://www.facebook.com/ads/library/?active_status=active&amp;ad_type=all&amp;country=ALL&amp;view_all_page_id=491139594088747&amp;search_type=page&amp;media_type=all", "👉 Open Live Meta Ads")</f>
        <v/>
      </c>
      <c r="E81" s="5">
        <f>HYPERLINK("https://keychron.com", "🌐 Visit Website")</f>
        <v/>
      </c>
      <c r="F81" s="5">
        <f>HYPERLINK("https://instagram.com/keychron", "📸 Open Instagram")</f>
        <v/>
      </c>
      <c r="G81" s="4" t="inlineStr">
        <is>
          <t>Static top-down photos of keyboards with zero audio. The #1 selling point of mechanical keyboards (typing sound and acoustic feel) is completely absent.</t>
        </is>
      </c>
      <c r="H81" s="4" t="inlineStr">
        <is>
          <t>Hook: 'Listen to the most satisfying sound in the world.' Visual: Macro 4K slow-mo camera gliding over CNC aluminum chassis as custom lubed switches clack with crisp binaural ASMR sound. VO: 'Full aluminum body. Custom hot-swappable switches. Wireless productivity bliss.' Text: '100% CNC Aluminum. Satisfying Sound.'</t>
        </is>
      </c>
      <c r="I81" s="4" t="inlineStr">
        <is>
          <t>Pitch Marketing Team: 'Your ads are muted! Mechanical keyboards sell on acoustic ASMR. Here is a 10-second sound-first video ad concept.'</t>
        </is>
      </c>
    </row>
    <row r="82" ht="38" customHeight="1">
      <c r="A82" s="6" t="inlineStr">
        <is>
          <t>AUDIT-080</t>
        </is>
      </c>
      <c r="B82" s="6" t="inlineStr">
        <is>
          <t>Oura (Campaign #4) — Oura Ring Gen 3 (Titanium / Stealth) — Variant 4</t>
        </is>
      </c>
      <c r="C82" s="7" t="inlineStr">
        <is>
          <t>Smart Rings &amp; Biometrics</t>
        </is>
      </c>
      <c r="D82" s="8">
        <f>HYPERLINK("https://www.facebook.com/ads/library/?active_status=all&amp;ad_type=all&amp;country=ALL&amp;q=Oura%20Ring", "👉 Open Live Meta Ads")</f>
        <v/>
      </c>
      <c r="E82" s="8">
        <f>HYPERLINK("https://ouraring.com", "🌐 Visit Website")</f>
        <v/>
      </c>
      <c r="F82" s="8">
        <f>HYPERLINK("https://instagram.com/ouraring", "📸 Open Instagram")</f>
        <v/>
      </c>
      <c r="G82" s="7" t="inlineStr">
        <is>
          <t>Subtle jewelry photos that look like standard wedding bands. Fails to visually demonstrate the medical-grade infrared sensor intelligence packed inside.</t>
        </is>
      </c>
      <c r="H82" s="7" t="inlineStr">
        <is>
          <t>Hook: 'Smartwatches are ugly. This ring has 10x the biometric accuracy.' Visual: 3D exploded view of titanium outer shell revealing glowing red and green infrared pulse sensors inside the ring band. VO: 'Titanium durability. 7-day battery life. The most accurate sleep tracker on Earth.' Text: 'Titanium Smart Ring. 7-Day Battery.'</t>
        </is>
      </c>
      <c r="I82" s="7" t="inlineStr">
        <is>
          <t>Pitch Growth Lead: 'Here is a 3D deconstruction hook that positions Oura directly against ugly smartwatches.'</t>
        </is>
      </c>
    </row>
    <row r="83" ht="38" customHeight="1">
      <c r="A83" s="3" t="inlineStr">
        <is>
          <t>AUDIT-081</t>
        </is>
      </c>
      <c r="B83" s="3" t="inlineStr">
        <is>
          <t>AG1 (Athletic Greens) (Campaign #5) — Daily Green Superfood Powder (AG1 Next Gen) — Variant 5</t>
        </is>
      </c>
      <c r="C83" s="4" t="inlineStr">
        <is>
          <t>Supplements &amp; Wellness</t>
        </is>
      </c>
      <c r="D83" s="5">
        <f>HYPERLINK("https://www.facebook.com/ads/library/?active_status=all&amp;ad_type=all&amp;country=ALL&amp;view_all_page_id=183869772601&amp;search_type=page&amp;media_type=all", "👉 Open Live Meta Ads")</f>
        <v/>
      </c>
      <c r="E83" s="5">
        <f>HYPERLINK("https://google.com", "🌐 Visit Website")</f>
        <v/>
      </c>
      <c r="F83" s="5">
        <f>HYPERLINK("https://instagram.com", "📸 Open Instagram")</f>
        <v/>
      </c>
      <c r="G83" s="4" t="inlineStr">
        <is>
          <t>Over-reliance on talking-head podcast clips and static green pouch renders. 0-3s hook suffers from severe creative fatigue among cold audiences who ignore static shakers.</t>
        </is>
      </c>
      <c r="H83" s="4" t="inlineStr">
        <is>
          <t>Hook: 'Stop drinking oxidized pond water.' Visual: 4K macro camera diving inside an icy glass as AG1 emerald powder explodes into micro-vortex with citrus lime splash. VO: '75 vitamins packed into 1 scoop that actually tastes crisp.' Text: '75 Nutrients. 0 Synthetic Fillers.'</t>
        </is>
      </c>
      <c r="I83" s="4" t="inlineStr">
        <is>
          <t>DM CMO with a 3-second kinetic liquid simulation hook: 'Your podcast ads are great for retargeting, but cold traffic is scrolling past the static shaker. We rebuilt your first 3s for a 40% CTR boost.'</t>
        </is>
      </c>
    </row>
    <row r="84" ht="38" customHeight="1">
      <c r="A84" s="6" t="inlineStr">
        <is>
          <t>AUDIT-082</t>
        </is>
      </c>
      <c r="B84" s="6" t="inlineStr">
        <is>
          <t>MUD\WTR (Campaign #5) — :rise Cacao Functional Mushroom Coffee — Variant 5</t>
        </is>
      </c>
      <c r="C84" s="7" t="inlineStr">
        <is>
          <t>Supplements &amp; Coffee Alternatives</t>
        </is>
      </c>
      <c r="D84" s="8">
        <f>HYPERLINK("https://www.facebook.com/ads/library/?active_status=all&amp;ad_type=all&amp;country=ALL&amp;view_all_page_id=172538983355501&amp;search_type=page&amp;media_type=all", "👉 Open Live Meta Ads")</f>
        <v/>
      </c>
      <c r="E84" s="8">
        <f>HYPERLINK("https://mudwtr.com", "🌐 Visit Website")</f>
        <v/>
      </c>
      <c r="F84" s="8">
        <f>HYPERLINK("https://instagram.com/mudwtr", "📸 Open Instagram")</f>
        <v/>
      </c>
      <c r="G84" s="7" t="inlineStr">
        <is>
          <t>Repetitive earthy brown mud aesthetic with handwritten typography. Fails to visually convey the immediate neuro-focus difference compared to coffee jitters.</t>
        </is>
      </c>
      <c r="H84" s="7" t="inlineStr">
        <is>
          <t>Hook: 'Coffee is borrowing energy from your tomorrow.' Visual: Jittery red heart-rate waveform snapping into smooth golden Lion's Mane neural beam as spiced cacao pours into mug in 120fps slow-mo. VO: '1/7th the caffeine of coffee. 100% sustained flow state.' Text: 'Zero Jitters. Zero Crash.'</t>
        </is>
      </c>
      <c r="I84" s="7" t="inlineStr">
        <is>
          <t>Loom video analyzing their top 3 active ads: 'Your mud colorway blends into the feed. This high-contrast gold-on-black split-screen stops caffeine crashers instantly.'</t>
        </is>
      </c>
    </row>
    <row r="85" ht="38" customHeight="1">
      <c r="A85" s="3" t="inlineStr">
        <is>
          <t>AUDIT-083</t>
        </is>
      </c>
      <c r="B85" s="3" t="inlineStr">
        <is>
          <t>Huel (Campaign #5) — Huel Black Edition / Daily Greens — Variant 5</t>
        </is>
      </c>
      <c r="C85" s="4" t="inlineStr">
        <is>
          <t>Supplements &amp; Meal Replacement</t>
        </is>
      </c>
      <c r="D85" s="5">
        <f>HYPERLINK("https://www.facebook.com/ads/library/?active_status=all&amp;ad_type=all&amp;country=GB&amp;is_targeted_country=false&amp;media_type=all&amp;search_type=page&amp;view_all_page_id=282592881929497", "👉 Open Live Meta Ads")</f>
        <v/>
      </c>
      <c r="E85" s="5">
        <f>HYPERLINK("https://huel.com", "🌐 Visit Website")</f>
        <v/>
      </c>
      <c r="F85" s="5">
        <f>HYPERLINK("https://instagram.com/huel", "📸 Open Instagram")</f>
        <v/>
      </c>
      <c r="G85" s="4" t="inlineStr">
        <is>
          <t>Technical nutritional chart overlays with heavy text and drab grey shaker graphics that look medicinal and unappetizing.</t>
        </is>
      </c>
      <c r="H85" s="4" t="inlineStr">
        <is>
          <t>Hook: 'You just spent $24 on a soggy lunch salad.' Visual: Fast-paced receipt burning transition into a sleek matte black bottle being shaken with creamy salted caramel chocolate swirl. VO: '40g protein. 27 essential vitamins. Ready in 15 seconds for $2.80.' Text: '$2.80 / Meal. Complete Nutrition.'</t>
        </is>
      </c>
      <c r="I85" s="4" t="inlineStr">
        <is>
          <t>Pitch their Growth Lead on LinkedIn: 'Your £2.80 price-per-meal is your #1 selling point, but it's buried at the end. Here is a 3-second hook putting price-comparison first.'</t>
        </is>
      </c>
    </row>
    <row r="86" ht="38" customHeight="1">
      <c r="A86" s="6" t="inlineStr">
        <is>
          <t>AUDIT-084</t>
        </is>
      </c>
      <c r="B86" s="6" t="inlineStr">
        <is>
          <t>Magic Spoon Cereal (Campaign #5) — High-Protein Low-Carb Cereal (Fruity / Cocoa) — Variant 5</t>
        </is>
      </c>
      <c r="C86" s="7" t="inlineStr">
        <is>
          <t>Food &amp; Functional Nutrition</t>
        </is>
      </c>
      <c r="D86" s="8">
        <f>HYPERLINK("https://www.facebook.com/ads/library/?active_status=all&amp;ad_type=all&amp;country=ALL&amp;view_all_page_id=1978160732305312&amp;search_type=page&amp;media_type=all", "👉 Open Live Meta Ads")</f>
        <v/>
      </c>
      <c r="E86" s="8">
        <f>HYPERLINK("https://magicspoon.com", "🌐 Visit Website")</f>
        <v/>
      </c>
      <c r="F86" s="8">
        <f>HYPERLINK("https://instagram.com/magicspooncereal", "📸 Open Instagram")</f>
        <v/>
      </c>
      <c r="G86" s="7" t="inlineStr">
        <is>
          <t>Saturated retro cartoon vector graphics have become ad-blind. Audiences mistake them for kids' cereal rather than high-protein macro food for athletes and dieters.</t>
        </is>
      </c>
      <c r="H86" s="7" t="inlineStr">
        <is>
          <t>Hook: 'Childhood cereal had 14g of sugar. This has 14g of protein.' Visual: Retro cereal box dissolving in 3D into an exploded view of macro protein crisp rings splashing into ice-cold milk. VO: 'Zero sugar. 14g protein. Exactly like Saturday morning cartoons.' Text: '14g Protein. 0g Sugar. 4g Net Carbs.'</t>
        </is>
      </c>
      <c r="I86" s="7" t="inlineStr">
        <is>
          <t>Send Founder a 15s remake showing real milk crunch ASMR: 'Your illustrations are pretty, but real macro milk-pour crunch converts 2.5x higher on Instagram.'</t>
        </is>
      </c>
    </row>
    <row r="87" ht="38" customHeight="1">
      <c r="A87" s="3" t="inlineStr">
        <is>
          <t>AUDIT-085</t>
        </is>
      </c>
      <c r="B87" s="3" t="inlineStr">
        <is>
          <t>Liquid Death (Campaign #5) — Canned Mountain Water &amp; Death Dust Electrolytes — Variant 5</t>
        </is>
      </c>
      <c r="C87" s="4" t="inlineStr">
        <is>
          <t>Beverages &amp; Electrolytes</t>
        </is>
      </c>
      <c r="D87" s="5">
        <f>HYPERLINK("https://www.facebook.com/ads/library/?active_status=all&amp;ad_type=all&amp;country=ALL&amp;view_all_page_id=2012750189007245&amp;sort_data[direction]=desc&amp;sort_data[mode]=relevancy_monthly_grouped&amp;search_type=page&amp;media_type=all", "👉 Open Live Meta Ads")</f>
        <v/>
      </c>
      <c r="E87" s="5">
        <f>HYPERLINK("https://liquiddeath.com", "🌐 Visit Website")</f>
        <v/>
      </c>
      <c r="F87" s="5">
        <f>HYPERLINK("https://instagram.com/liquiddeath", "📸 Open Instagram")</f>
        <v/>
      </c>
      <c r="G87" s="4" t="inlineStr">
        <is>
          <t>Humor stunts often overpower the product conversion message; users laugh but don't click to buy the electrolyte packets (Death Dust).</t>
        </is>
      </c>
      <c r="H87" s="4" t="inlineStr">
        <is>
          <t>Hook: 'Murder your thirst... and your hangover.' Visual: 3D skull ripping open a neon Death Dust packet with lightning sparks shooting into an icy cold tallboy can. VO: '5x electrolytes. Real cane sugar. Kill dehydration before it kills you.' Text: 'Murder Your Hangover.'</t>
        </is>
      </c>
      <c r="I87" s="4" t="inlineStr">
        <is>
          <t>Cold DM their Head of Digital: 'Love the comedic ads, but Death Dust needs a high-intent performance creative. Here is a high-octane 3D can-rip concept.'</t>
        </is>
      </c>
    </row>
    <row r="88" ht="38" customHeight="1">
      <c r="A88" s="6" t="inlineStr">
        <is>
          <t>AUDIT-086</t>
        </is>
      </c>
      <c r="B88" s="6" t="inlineStr">
        <is>
          <t>Bloom Nutrition (Campaign #5) — Greens &amp; Superfoods Powder (Mango / Berry) — Variant 5</t>
        </is>
      </c>
      <c r="C88" s="7" t="inlineStr">
        <is>
          <t>Supplements &amp; Gut Health</t>
        </is>
      </c>
      <c r="D88" s="8">
        <f>HYPERLINK("https://www.facebook.com/ads/library/?active_status=active&amp;ad_type=all&amp;country=US&amp;is_targeted_country=false&amp;media_type=all&amp;search_type=page&amp;view_all_page_id=655412221523654", "👉 Open Live Meta Ads")</f>
        <v/>
      </c>
      <c r="E88" s="8">
        <f>HYPERLINK("https://bloomnu.com", "🌐 Visit Website")</f>
        <v/>
      </c>
      <c r="F88" s="8">
        <f>HYPERLINK("https://instagram.com/bloomnutrition", "📸 Open Instagram")</f>
        <v/>
      </c>
      <c r="G88" s="7" t="inlineStr">
        <is>
          <t>Over-reliance on repetitive TikTok-style selfie videos in identical kitchen setups. Viewer fatigue is causing high CPA on Meta cold campaigns.</t>
        </is>
      </c>
      <c r="H88" s="7" t="inlineStr">
        <is>
          <t>Hook: 'Why your stomach is bloated 20 minutes after eating.' Visual: Dynamic 3D gut microbiome animation calming down instantly with a refreshing iced mango greens pour. VO: 'Sooth digestion and banish bloating in 1 single daily glass.' Text: 'Debloat in 14 Days.'</t>
        </is>
      </c>
      <c r="I88" s="7" t="inlineStr">
        <is>
          <t>Pitch their Media Buyer: 'Your UGC is saturated. Here is a 3D kinetic anatomy angle to capture the 25-45 female demographic who ignore selfie videos.'</t>
        </is>
      </c>
    </row>
    <row r="89" ht="38" customHeight="1">
      <c r="A89" s="3" t="inlineStr">
        <is>
          <t>AUDIT-087</t>
        </is>
      </c>
      <c r="B89" s="3" t="inlineStr">
        <is>
          <t>Dr. Squatch (Campaign #5) — Natural Cold-Process Bar Soap (Pine Tar / Wood Barrel Bourbon) — Variant 5</t>
        </is>
      </c>
      <c r="C89" s="4" t="inlineStr">
        <is>
          <t>Men's Grooming &amp; Bodycare</t>
        </is>
      </c>
      <c r="D89" s="5">
        <f>HYPERLINK("https://www.facebook.com/ads/library/?active_status=all&amp;ad_type=all&amp;country=US&amp;view_all_page_id=118075261668462&amp;sort_data[direction]=desc&amp;sort_data[mode]=relevancy_monthly_grouped&amp;search_type=page&amp;media_type=all", "👉 Open Live Meta Ads")</f>
        <v/>
      </c>
      <c r="E89" s="5">
        <f>HYPERLINK("https://drsquatch.com", "🌐 Visit Website")</f>
        <v/>
      </c>
      <c r="F89" s="5">
        <f>HYPERLINK("https://instagram.com/drsquatch", "📸 Open Instagram")</f>
        <v/>
      </c>
      <c r="G89" s="4" t="inlineStr">
        <is>
          <t>Long 2-minute sketch videos are losing viewers in the first 4 seconds on Instagram Mobile Feed. Need punchy 10-15s product-first kinetic ads.</t>
        </is>
      </c>
      <c r="H89" s="4" t="inlineStr">
        <is>
          <t>Hook: 'You're showering with synthetic chemical detergents.' Visual: Commercial body wash bottle cracking in half, replaced by a rugged wood-textured Pine Tar soap bar foaming rich natural lather in a waterfall. VO: 'Ditch the chemicals. Real cold-process pine tar soap.' Text: '100% Natural. Zero Synthetic Detergents.'</t>
        </is>
      </c>
      <c r="I89" s="4" t="inlineStr">
        <is>
          <t>Pitch CMO: 'Your long comedy sketches are getting skipped on mobile stories. We cut your concept into a 12s high-retention direct-response ad.'</t>
        </is>
      </c>
    </row>
    <row r="90" ht="38" customHeight="1">
      <c r="A90" s="6" t="inlineStr">
        <is>
          <t>AUDIT-088</t>
        </is>
      </c>
      <c r="B90" s="6" t="inlineStr">
        <is>
          <t>Manscaped (Campaign #5) — The Lawn Mower 5.0 Ultra Trimmer — Variant 5</t>
        </is>
      </c>
      <c r="C90" s="7" t="inlineStr">
        <is>
          <t>Men's Grooming &amp; Tech</t>
        </is>
      </c>
      <c r="D90" s="8">
        <f>HYPERLINK("https://www.facebook.com/ads/library/?active_status=all&amp;ad_type=all&amp;country=ALL&amp;view_all_page_id=1545577295743703&amp;search_type=page&amp;media_type=all", "👉 Open Live Meta Ads")</f>
        <v/>
      </c>
      <c r="E90" s="8">
        <f>HYPERLINK("https://manscaped.com", "🌐 Visit Website")</f>
        <v/>
      </c>
      <c r="F90" s="8">
        <f>HYPERLINK("https://instagram.com/manscaped", "📸 Open Instagram")</f>
        <v/>
      </c>
      <c r="G90" s="7" t="inlineStr">
        <is>
          <t>Repetitive product renders spinning against blue studio lighting. Fails to emphasize the waterproof SkinSafe ceramic blade technology dynamically.</t>
        </is>
      </c>
      <c r="H90" s="7" t="inlineStr">
        <is>
          <t>Hook: 'Your trimmer blade from 2022 is a bacteria breeding ground.' Visual: Macro ceramic blade glide over a delicate balloon without popping, submerged in rushing water with neon LED headlights. VO: 'Dual SkinSafe heads. 100% waterproof. The closest, safest trim ever built.' Text: 'SkinSafe Ceramic Tech. 100% Waterproof.'</t>
        </is>
      </c>
      <c r="I90" s="7" t="inlineStr">
        <is>
          <t>Send Creative Director a 3D ceramic blade test clip: 'Here is how to visually prove your SkinSafe technology in the first 2 seconds.'</t>
        </is>
      </c>
    </row>
    <row r="91" ht="38" customHeight="1">
      <c r="A91" s="3" t="inlineStr">
        <is>
          <t>AUDIT-089</t>
        </is>
      </c>
      <c r="B91" s="3" t="inlineStr">
        <is>
          <t>Curology (Campaign #5) — Custom Prescription Acne Cream &amp; Cleanser — Variant 5</t>
        </is>
      </c>
      <c r="C91" s="4" t="inlineStr">
        <is>
          <t>Skincare &amp; Telehealth</t>
        </is>
      </c>
      <c r="D91" s="5">
        <f>HYPERLINK("https://www.facebook.com/ads/library/?active_status=all&amp;ad_type=all&amp;country=US&amp;view_all_page_id=246043868861319&amp;sort_data[direction]=desc&amp;sort_data[mode]=relevancy_monthly_grouped&amp;search_type=page&amp;media_type=all", "👉 Open Live Meta Ads")</f>
        <v/>
      </c>
      <c r="E91" s="5">
        <f>HYPERLINK("https://curology.com", "🌐 Visit Website")</f>
        <v/>
      </c>
      <c r="F91" s="5">
        <f>HYPERLINK("https://instagram.com/curology", "📸 Open Instagram")</f>
        <v/>
      </c>
      <c r="G91" s="4" t="inlineStr">
        <is>
          <t>Static bottle photos and generic pharmacy text. Fails to show the dramatic before-and-after skin transformation process in a clean, believable medical way.</t>
        </is>
      </c>
      <c r="H91" s="4" t="inlineStr">
        <is>
          <t>Hook: 'Drugstore acne face wash is making your breakouts worse.' Visual: Time-lapse 30-day microscopic skin scan showing inflammation fading and barrier rebuilding under a custom bottle formulation. VO: 'Dermatologist-prescribed ingredients custom-mixed for your exact skin.' Text: 'Prescription Formula. Delivered to Your Door.'</t>
        </is>
      </c>
      <c r="I91" s="4" t="inlineStr">
        <is>
          <t>Pitch Growth Team: 'We designed a 3D skin-scan visual hook that outperforms generic selfie testimonials by 35% on Meta.'</t>
        </is>
      </c>
    </row>
    <row r="92" ht="38" customHeight="1">
      <c r="A92" s="6" t="inlineStr">
        <is>
          <t>AUDIT-090</t>
        </is>
      </c>
      <c r="B92" s="6" t="inlineStr">
        <is>
          <t>Glossier (Campaign #5) — Boy Brow &amp; Cloud Paint Gel-Cream Blush — Variant 5</t>
        </is>
      </c>
      <c r="C92" s="7" t="inlineStr">
        <is>
          <t>Beauty &amp; Cosmetics</t>
        </is>
      </c>
      <c r="D92" s="8">
        <f>HYPERLINK("https://www.facebook.com/ads/library/?active_status=active&amp;ad_type=all&amp;country=ALL&amp;view_all_page_id=1392545734334646&amp;search_type=page&amp;media_type=all", "👉 Open Live Meta Ads")</f>
        <v/>
      </c>
      <c r="E92" s="8">
        <f>HYPERLINK("https://glossier.com", "🌐 Visit Website")</f>
        <v/>
      </c>
      <c r="F92" s="8">
        <f>HYPERLINK("https://instagram.com/glossier", "📸 Open Instagram")</f>
        <v/>
      </c>
      <c r="G92" s="7" t="inlineStr">
        <is>
          <t>Minimalist muted aesthetic often looks too subtle in fast-scrolling Instagram feeds, causing low click-through rates on non-brand audiences.</t>
        </is>
      </c>
      <c r="H92" s="7" t="inlineStr">
        <is>
          <t>Hook: 'The 2-minute 'no-makeup' makeup routine.' Visual: High-speed aesthetic macro swatch of Cloud Paint cream blending seamlessly into dewy glowing skin with satisfying creamy texture. VO: 'Buildable, pillowy gel-cream that melts into your cheeks in seconds.' Text: 'Effortless Glow. 2 Minutes Flat.'</t>
        </is>
      </c>
      <c r="I92" s="7" t="inlineStr">
        <is>
          <t>Reach out to Social Lead: 'Your brand aesthetic is iconic, but cold feeds need a punchy texture-first hook to stop scroll dropoff.'</t>
        </is>
      </c>
    </row>
    <row r="93" ht="38" customHeight="1">
      <c r="A93" s="3" t="inlineStr">
        <is>
          <t>AUDIT-091</t>
        </is>
      </c>
      <c r="B93" s="3" t="inlineStr">
        <is>
          <t>True Classic (Campaign #5) — Fitted Premium Crewneck T-Shirts — Variant 5</t>
        </is>
      </c>
      <c r="C93" s="4" t="inlineStr">
        <is>
          <t>Men's Apparel &amp; Basics</t>
        </is>
      </c>
      <c r="D93" s="5">
        <f>HYPERLINK("https://www.facebook.com/ads/library/?active_status=all&amp;ad_type=all&amp;country=US&amp;view_all_page_id=661315797647911&amp;search_type=page&amp;media_type=all", "👉 Open Live Meta Ads")</f>
        <v/>
      </c>
      <c r="E93" s="5">
        <f>HYPERLINK("https://trueclassictees.com", "🌐 Visit Website")</f>
        <v/>
      </c>
      <c r="F93" s="5">
        <f>HYPERLINK("https://instagram.com/trueclassic", "📸 Open Instagram")</f>
        <v/>
      </c>
      <c r="G93" s="4" t="inlineStr">
        <is>
          <t>Heavy reliance on identical 'dad belly vs fitted tee' skit ads. The market has seen this angle hundreds of times, causing creative ad fatigue.</t>
        </is>
      </c>
      <c r="H93" s="4" t="inlineStr">
        <is>
          <t>Hook: 'Why 90% of men's tees look sloppy after 2 washes.' Visual: Macro cotton fiber comparison: boxy stretched-out neck vs. True Classic's fitted arm and chest taper in sleek Cyber Void black. VO: 'Fitted where you want it. Room where you need it. Stays sharp wash after wash.' Text: 'The Fit Formula. Never Shrinks.'</t>
        </is>
      </c>
      <c r="I93" s="4" t="inlineStr">
        <is>
          <t>Pitch Founder/CMO: 'Your dad-belly angle won the first $100M. Here is the premium fabric-performance angle to win the next $100M without comedic fatigue.'</t>
        </is>
      </c>
    </row>
    <row r="94" ht="38" customHeight="1">
      <c r="A94" s="6" t="inlineStr">
        <is>
          <t>AUDIT-092</t>
        </is>
      </c>
      <c r="B94" s="6" t="inlineStr">
        <is>
          <t>Gymshark (Campaign #5) — Seamless Leggings &amp; Power Stringers — Variant 5</t>
        </is>
      </c>
      <c r="C94" s="7" t="inlineStr">
        <is>
          <t>Athletic Wear &amp; Gym Apparel</t>
        </is>
      </c>
      <c r="D94" s="8">
        <f>HYPERLINK("https://www.facebook.com/ads/library/?active_status=all&amp;ad_type=all&amp;country=ALL&amp;view_all_page_id=129669023798560&amp;search_type=page&amp;media_type=all", "👉 Open Live Meta Ads")</f>
        <v/>
      </c>
      <c r="E94" s="8">
        <f>HYPERLINK("https://gymshark.com", "🌐 Visit Website")</f>
        <v/>
      </c>
      <c r="F94" s="8">
        <f>HYPERLINK("https://instagram.com/gymshark", "📸 Open Instagram")</f>
        <v/>
      </c>
      <c r="G94" s="7" t="inlineStr">
        <is>
          <t>Generic gym workout B-roll that looks like fitness influencer posts rather than high-converting product performance ads.</t>
        </is>
      </c>
      <c r="H94" s="7" t="inlineStr">
        <is>
          <t>Hook: 'Squat-proof tested at 400 lbs.' Visual: Extreme slow-motion barbell squat showing zero fabric stretch distortion and seamless compression contouring. VO: 'Engineered for zero chafing, maximum sweat-wicking, and total squat-proof support.' Text: '100% Squat-Proof. Seamless Stretch.'</t>
        </is>
      </c>
      <c r="I94" s="7" t="inlineStr">
        <is>
          <t>DM Paid Media Team: 'Here is a 3-second squat-proof durability test hook engineered for high conversion on Meta Reels.'</t>
        </is>
      </c>
    </row>
    <row r="95" ht="38" customHeight="1">
      <c r="A95" s="3" t="inlineStr">
        <is>
          <t>AUDIT-093</t>
        </is>
      </c>
      <c r="B95" s="3" t="inlineStr">
        <is>
          <t>Vuori (Campaign #5) — Kore Short &amp; Strato Tech Tee — Variant 5</t>
        </is>
      </c>
      <c r="C95" s="4" t="inlineStr">
        <is>
          <t>Premium Performance Apparel</t>
        </is>
      </c>
      <c r="D95" s="5">
        <f>HYPERLINK("https://www.facebook.com/ads/library/?active_status=all&amp;ad_type=all&amp;country=US&amp;view_all_page_id=126525880500&amp;sort_data[direction]=desc&amp;sort_data[mode]=relevancy_monthly_grouped&amp;search_type=page&amp;media_type=all", "👉 Open Live Meta Ads")</f>
        <v/>
      </c>
      <c r="E95" s="5">
        <f>HYPERLINK("https://vuoriclothing.com", "🌐 Visit Website")</f>
        <v/>
      </c>
      <c r="F95" s="5">
        <f>HYPERLINK("https://instagram.com/vuoriclothing", "📸 Open Instagram")</f>
        <v/>
      </c>
      <c r="G95" s="4" t="inlineStr">
        <is>
          <t>Static beach lifestyle photos with muted text overlay. Fails to demonstrate the signature buttery-soft DreamKnit fabric feel through video.</t>
        </is>
      </c>
      <c r="H95" s="4" t="inlineStr">
        <is>
          <t>Hook: 'The softest shorts you will ever put on your body.' Visual: Fluid slow-motion fabric wave gliding through fingers like liquid silk, snapping into modern athletic city jogger look. VO: 'Built with DreamKnit fabric. 4-way stretch. Looks tailored, feels like clouds.' Text: 'Buttery Soft. Built for Movement.'</t>
        </is>
      </c>
      <c r="I95" s="4" t="inlineStr">
        <is>
          <t>Pitch VP of Marketing: 'Your fabric softness is your #1 review keyword. We built a 3-second tactile visual hook that lets viewers feel the fabric through the screen.'</t>
        </is>
      </c>
    </row>
    <row r="96" ht="38" customHeight="1">
      <c r="A96" s="6" t="inlineStr">
        <is>
          <t>AUDIT-094</t>
        </is>
      </c>
      <c r="B96" s="6" t="inlineStr">
        <is>
          <t>Represent Clothing (Campaign #5) — Owners Club Hoodie &amp; Initial Sneaker — Variant 5</t>
        </is>
      </c>
      <c r="C96" s="7" t="inlineStr">
        <is>
          <t>Luxury Streetwear</t>
        </is>
      </c>
      <c r="D96" s="8">
        <f>HYPERLINK("https://www.facebook.com/ads/library/?active_status=all&amp;ad_type=all&amp;country=ALL&amp;media_type=all&amp;search_type=page&amp;view_all_page_id=104048763008842", "👉 Open Live Meta Ads")</f>
        <v/>
      </c>
      <c r="E96" s="8">
        <f>HYPERLINK("https://representclo.com", "🌐 Visit Website")</f>
        <v/>
      </c>
      <c r="F96" s="8">
        <f>HYPERLINK("https://instagram.com/representclo", "📸 Open Instagram")</f>
        <v/>
      </c>
      <c r="G96" s="7" t="inlineStr">
        <is>
          <t>App-only discount promo banners with flat static product cuts that fail to capture the British luxury streetwear runway aesthetic.</t>
        </is>
      </c>
      <c r="H96" s="7" t="inlineStr">
        <is>
          <t>Hook: 'British luxury streetwear crafted for the relentless.' Visual: Cinematic rainy London street in 4K with dark moody lighting, showing thick cobrax poppers and 480 GSM French Terry fabric structure. VO: 'Heavyweight custom vintage wash. Hand-distressed hardware. The Owners Club collection.' Text: '480 GSM Luxury. Hand-Crafted.'</t>
        </is>
      </c>
      <c r="I96" s="7" t="inlineStr">
        <is>
          <t>Send Creative Director a 4K dark cinematic mockup: 'Your app promo is too transactional. This cinematic luxury teaser builds high-ticket brand equity.'</t>
        </is>
      </c>
    </row>
    <row r="97" ht="38" customHeight="1">
      <c r="A97" s="3" t="inlineStr">
        <is>
          <t>AUDIT-095</t>
        </is>
      </c>
      <c r="B97" s="3" t="inlineStr">
        <is>
          <t>YoungLA (Campaign #5) — Immortal Joggers &amp; Oversized Pump Covers — Variant 5</t>
        </is>
      </c>
      <c r="C97" s="4" t="inlineStr">
        <is>
          <t>Fitness &amp; Lifestyle Streetwear</t>
        </is>
      </c>
      <c r="D97" s="5">
        <f>HYPERLINK("https://www.facebook.com/ads/library/?active_status=all&amp;ad_type=all&amp;country=ALL&amp;is_targeted_country=false&amp;media_type=all&amp;search_type=page&amp;view_all_page_id=1099144696833651", "👉 Open Live Meta Ads")</f>
        <v/>
      </c>
      <c r="E97" s="5">
        <f>HYPERLINK("https://youngla.com", "🌐 Visit Website")</f>
        <v/>
      </c>
      <c r="F97" s="5">
        <f>HYPERLINK("https://instagram.com/youngla", "📸 Open Instagram")</f>
        <v/>
      </c>
      <c r="G97" s="4" t="inlineStr">
        <is>
          <t>Rapid-cut athlete gym poses without clear product pricing, fit specs, or call to action, leading to drop-offs before the website click.</t>
        </is>
      </c>
      <c r="H97" s="4" t="inlineStr">
        <is>
          <t>Hook: 'The pump cover that doesn't lose its shape.' Visual: Dynamic gym lighting transition: athlete taking off hoodie to reveal perfectly structured oversized boxy tee with high neck ribbing. VO: 'Heavyweight cotton drop. Engineered for the pump. Limited stock drop.' Text: 'Drop Live Now. Sells Out Fast.'</t>
        </is>
      </c>
      <c r="I97" s="4" t="inlineStr">
        <is>
          <t>Pitch Media Team: 'Here is an urgency-focused countdown ad template designed specifically for drop sell-outs on Instagram Stories.'</t>
        </is>
      </c>
    </row>
    <row r="98" ht="38" customHeight="1">
      <c r="A98" s="6" t="inlineStr">
        <is>
          <t>AUDIT-096</t>
        </is>
      </c>
      <c r="B98" s="6" t="inlineStr">
        <is>
          <t>The Ridge (Campaign #5) — The Ridge Carbon Fiber RFID Wallet — Variant 5</t>
        </is>
      </c>
      <c r="C98" s="7" t="inlineStr">
        <is>
          <t>Everyday Carry &amp; Tech Accessories</t>
        </is>
      </c>
      <c r="D98" s="8">
        <f>HYPERLINK("https://www.facebook.com/ads/library/?active_status=all&amp;ad_type=all&amp;country=US&amp;is_targeted_country=false&amp;media_type=all&amp;search_type=page&amp;view_all_page_id=176366735873065", "👉 Open Live Meta Ads")</f>
        <v/>
      </c>
      <c r="E98" s="8">
        <f>HYPERLINK("https://ridge.com", "🌐 Visit Website")</f>
        <v/>
      </c>
      <c r="F98" s="8">
        <f>HYPERLINK("https://instagram.com/weareridge", "📸 Open Instagram")</f>
        <v/>
      </c>
      <c r="G98" s="7" t="inlineStr">
        <is>
          <t>Over-saturated comparison ads of giant leather wallets that audiences have seen for 6 years straight. Needs modern EDC lifestyle angle.</t>
        </is>
      </c>
      <c r="H98" s="7" t="inlineStr">
        <is>
          <t>Hook: 'Why are you still carrying a 2-inch leather brick in your pocket?' Visual: Giant fat leather wallet sliced cleanly in half in 3D, revealing sleek matte carbon fiber Ridge plate holding 12 cards with push-card fan. VO: 'Aerospace-grade titanium. RFID blocking. Guaranteed for life.' Text: 'Holds 12 Cards. Lifetime Warranty.'</t>
        </is>
      </c>
      <c r="I98" s="7" t="inlineStr">
        <is>
          <t>Send Head of Growth a 3D carbon fiber render: 'We evolved your classic brick wallet comparison into a sleek 2026 EDC aesthetic.'</t>
        </is>
      </c>
    </row>
    <row r="99" ht="38" customHeight="1">
      <c r="A99" s="3" t="inlineStr">
        <is>
          <t>AUDIT-097</t>
        </is>
      </c>
      <c r="B99" s="3" t="inlineStr">
        <is>
          <t>WHOOP (Campaign #5) — WHOOP 4.0 Health &amp; Fitness Tracker — Variant 5</t>
        </is>
      </c>
      <c r="C99" s="4" t="inlineStr">
        <is>
          <t>Wearable Tech &amp; Biometrics</t>
        </is>
      </c>
      <c r="D99" s="5">
        <f>HYPERLINK("https://www.facebook.com/ads/library/?active_status=all&amp;ad_type=all&amp;country=ALL&amp;is_targeted_country=false&amp;media_type=all&amp;search_type=page&amp;view_all_page_id=314298918730028", "👉 Open Live Meta Ads")</f>
        <v/>
      </c>
      <c r="E99" s="5">
        <f>HYPERLINK("https://whoop.com", "🌐 Visit Website")</f>
        <v/>
      </c>
      <c r="F99" s="5">
        <f>HYPERLINK("https://instagram.com/whoop", "📸 Open Instagram")</f>
        <v/>
      </c>
      <c r="G99" s="4" t="inlineStr">
        <is>
          <t>Dense biometric data dashboards with tiny font percentages that look intimidating rather than motivating for casual health seekers.</t>
        </is>
      </c>
      <c r="H99" s="4" t="inlineStr">
        <is>
          <t>Hook: 'You woke up with an 18% recovery score. Here is why.' Visual: Red glowing heart-rate strain animation on phone screen connecting to sleek screenless wristband. VO: 'Track your sleep, strain, and recovery 24/7 without a distracting screen.' Text: 'Unlock Your Body's Data. Free Trial.'</t>
        </is>
      </c>
      <c r="I99" s="4" t="inlineStr">
        <is>
          <t>Pitch Creative Lead: 'Your data graphics are too complex for cold viewers. This 3-second strain recovery hook simplifies the value proposition instantly.'</t>
        </is>
      </c>
    </row>
    <row r="100" ht="38" customHeight="1">
      <c r="A100" s="6" t="inlineStr">
        <is>
          <t>AUDIT-098</t>
        </is>
      </c>
      <c r="B100" s="6" t="inlineStr">
        <is>
          <t>Anker (Campaign #5) — Anker Prime 20,000mAh 200W Power Bank — Variant 5</t>
        </is>
      </c>
      <c r="C100" s="7" t="inlineStr">
        <is>
          <t>Consumer Tech &amp; Charging</t>
        </is>
      </c>
      <c r="D100" s="8">
        <f>HYPERLINK("https://www.facebook.com/ads/library/?active_status=active&amp;ad_type=all&amp;country=ALL&amp;view_all_page_id=1767876273230903&amp;search_type=page&amp;media_type=all", "👉 Open Live Meta Ads")</f>
        <v/>
      </c>
      <c r="E100" s="8">
        <f>HYPERLINK("https://anker.com", "🌐 Visit Website")</f>
        <v/>
      </c>
      <c r="F100" s="8">
        <f>HYPERLINK("https://instagram.com/anker_official", "📸 Open Instagram")</f>
        <v/>
      </c>
      <c r="G100" s="7" t="inlineStr">
        <is>
          <t>Spec-heavy corporate tech renders listing wattage numbers without showing the emotional relief of charging a dead laptop on an airplane.</t>
        </is>
      </c>
      <c r="H100" s="7" t="inlineStr">
        <is>
          <t>Hook: 'Your laptop battery is at 3% on a 6-hour flight.' Visual: Flashing red battery icon on MacBook screen instantly jumping to lightning-fast 200W charging from a sleek metallic pocket brick. VO: '200W total output. Fast-charge 2 laptops at the same time.' Text: '200W Fast Charge. Airline Approved.'</t>
        </is>
      </c>
      <c r="I100" s="7" t="inlineStr">
        <is>
          <t>Send VP of E-Commerce a high-voltage motion teaser: 'We turned your technical wattage specs into an emotional travel problem-solver ad.'</t>
        </is>
      </c>
    </row>
    <row r="101" ht="38" customHeight="1">
      <c r="A101" s="3" t="inlineStr">
        <is>
          <t>AUDIT-099</t>
        </is>
      </c>
      <c r="B101" s="3" t="inlineStr">
        <is>
          <t>Keychron (Campaign #5) — Keychron Q Pro Wireless Custom Keyboard — Variant 5</t>
        </is>
      </c>
      <c r="C101" s="4" t="inlineStr">
        <is>
          <t>Mechanical Keyboards &amp; Productivity</t>
        </is>
      </c>
      <c r="D101" s="5">
        <f>HYPERLINK("https://www.facebook.com/ads/library/?active_status=active&amp;ad_type=all&amp;country=ALL&amp;view_all_page_id=491139594088747&amp;search_type=page&amp;media_type=all", "👉 Open Live Meta Ads")</f>
        <v/>
      </c>
      <c r="E101" s="5">
        <f>HYPERLINK("https://keychron.com", "🌐 Visit Website")</f>
        <v/>
      </c>
      <c r="F101" s="5">
        <f>HYPERLINK("https://instagram.com/keychron", "📸 Open Instagram")</f>
        <v/>
      </c>
      <c r="G101" s="4" t="inlineStr">
        <is>
          <t>Static top-down photos of keyboards with zero audio. The #1 selling point of mechanical keyboards (typing sound and acoustic feel) is completely absent.</t>
        </is>
      </c>
      <c r="H101" s="4" t="inlineStr">
        <is>
          <t>Hook: 'Listen to the most satisfying sound in the world.' Visual: Macro 4K slow-mo camera gliding over CNC aluminum chassis as custom lubed switches clack with crisp binaural ASMR sound. VO: 'Full aluminum body. Custom hot-swappable switches. Wireless productivity bliss.' Text: '100% CNC Aluminum. Satisfying Sound.'</t>
        </is>
      </c>
      <c r="I101" s="4" t="inlineStr">
        <is>
          <t>Pitch Marketing Team: 'Your ads are muted! Mechanical keyboards sell on acoustic ASMR. Here is a 10-second sound-first video ad concept.'</t>
        </is>
      </c>
    </row>
    <row r="102" ht="38" customHeight="1">
      <c r="A102" s="6" t="inlineStr">
        <is>
          <t>AUDIT-100</t>
        </is>
      </c>
      <c r="B102" s="6" t="inlineStr">
        <is>
          <t>Oura (Campaign #5) — Oura Ring Gen 3 (Titanium / Stealth) — Variant 5</t>
        </is>
      </c>
      <c r="C102" s="7" t="inlineStr">
        <is>
          <t>Smart Rings &amp; Biometrics</t>
        </is>
      </c>
      <c r="D102" s="8">
        <f>HYPERLINK("https://www.facebook.com/ads/library/?active_status=all&amp;ad_type=all&amp;country=ALL&amp;q=Oura%20Ring", "👉 Open Live Meta Ads")</f>
        <v/>
      </c>
      <c r="E102" s="8">
        <f>HYPERLINK("https://ouraring.com", "🌐 Visit Website")</f>
        <v/>
      </c>
      <c r="F102" s="8">
        <f>HYPERLINK("https://instagram.com/ouraring", "📸 Open Instagram")</f>
        <v/>
      </c>
      <c r="G102" s="7" t="inlineStr">
        <is>
          <t>Subtle jewelry photos that look like standard wedding bands. Fails to visually demonstrate the medical-grade infrared sensor intelligence packed inside.</t>
        </is>
      </c>
      <c r="H102" s="7" t="inlineStr">
        <is>
          <t>Hook: 'Smartwatches are ugly. This ring has 10x the biometric accuracy.' Visual: 3D exploded view of titanium outer shell revealing glowing red and green infrared pulse sensors inside the ring band. VO: 'Titanium durability. 7-day battery life. The most accurate sleep tracker on Earth.' Text: 'Titanium Smart Ring. 7-Day Battery.'</t>
        </is>
      </c>
      <c r="I102" s="7" t="inlineStr">
        <is>
          <t>Pitch Growth Lead: 'Here is a 3D deconstruction hook that positions Oura directly against ugly smartwatches.'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2026-08-15T10:11:39Z</dcterms:created>
  <dcterms:modified xmlns:dcterms="http://purl.org/dc/terms/" xmlns:xsi="http://www.w3.org/2001/XMLSchema-instance" xsi:type="dcterms:W3CDTF">2026-08-15T10:11:39Z</dcterms:modified>
</cp:coreProperties>
</file>